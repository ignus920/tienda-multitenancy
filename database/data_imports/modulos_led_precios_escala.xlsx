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3D7DB5-3446-486E-9B9C-B97874DBDD4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1" r:id="rId1"/>
  </sheets>
  <calcPr calcId="191029"/>
  <extLst>
    <ext uri="GoogleSheetsCustomDataVersion2">
      <go:sheetsCustomData xmlns:go="http://customooxmlschemas.google.com/" r:id="rId5" roundtripDataChecksum="XH9NFcePgVrrSh/6BqB9I+Jwdc+tK+kmeL365tpsf0c="/>
    </ext>
  </extLst>
</workbook>
</file>

<file path=xl/calcChain.xml><?xml version="1.0" encoding="utf-8"?>
<calcChain xmlns="http://schemas.openxmlformats.org/spreadsheetml/2006/main">
  <c r="X4" i="1" l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Y175" i="1" s="1"/>
  <c r="V120" i="1"/>
  <c r="V4" i="1"/>
  <c r="S4" i="1"/>
  <c r="Y8" i="1" l="1"/>
  <c r="Y9" i="1"/>
  <c r="Y16" i="1"/>
  <c r="Y17" i="1"/>
  <c r="Y24" i="1"/>
  <c r="Y32" i="1"/>
  <c r="Y40" i="1"/>
  <c r="Y48" i="1"/>
  <c r="Y56" i="1"/>
  <c r="Y64" i="1"/>
  <c r="Y72" i="1"/>
  <c r="Y80" i="1"/>
  <c r="Y88" i="1"/>
  <c r="Y96" i="1"/>
  <c r="Y104" i="1"/>
  <c r="Y112" i="1"/>
  <c r="Y120" i="1"/>
  <c r="Y128" i="1"/>
  <c r="Y136" i="1"/>
  <c r="Y144" i="1"/>
  <c r="Y152" i="1"/>
  <c r="Y160" i="1"/>
  <c r="Y168" i="1"/>
  <c r="Y25" i="1"/>
  <c r="Y73" i="1"/>
  <c r="Y105" i="1"/>
  <c r="Y153" i="1"/>
  <c r="Y10" i="1"/>
  <c r="Y18" i="1"/>
  <c r="Y26" i="1"/>
  <c r="Y34" i="1"/>
  <c r="Y42" i="1"/>
  <c r="Y50" i="1"/>
  <c r="Y58" i="1"/>
  <c r="Y66" i="1"/>
  <c r="Y74" i="1"/>
  <c r="Y82" i="1"/>
  <c r="Y90" i="1"/>
  <c r="Y98" i="1"/>
  <c r="Y106" i="1"/>
  <c r="Y114" i="1"/>
  <c r="Y122" i="1"/>
  <c r="Y130" i="1"/>
  <c r="Y138" i="1"/>
  <c r="Y146" i="1"/>
  <c r="Y154" i="1"/>
  <c r="Y162" i="1"/>
  <c r="Y170" i="1"/>
  <c r="Y33" i="1"/>
  <c r="Y57" i="1"/>
  <c r="Y81" i="1"/>
  <c r="Y97" i="1"/>
  <c r="Y129" i="1"/>
  <c r="Y145" i="1"/>
  <c r="Y169" i="1"/>
  <c r="Y19" i="1"/>
  <c r="Y51" i="1"/>
  <c r="Y59" i="1"/>
  <c r="Y67" i="1"/>
  <c r="Y75" i="1"/>
  <c r="Y83" i="1"/>
  <c r="Y91" i="1"/>
  <c r="Y99" i="1"/>
  <c r="Y107" i="1"/>
  <c r="Y115" i="1"/>
  <c r="Y123" i="1"/>
  <c r="Y131" i="1"/>
  <c r="Y139" i="1"/>
  <c r="Y147" i="1"/>
  <c r="Y155" i="1"/>
  <c r="Y163" i="1"/>
  <c r="Y171" i="1"/>
  <c r="Y12" i="1"/>
  <c r="Y20" i="1"/>
  <c r="Y28" i="1"/>
  <c r="Y36" i="1"/>
  <c r="Y44" i="1"/>
  <c r="Y52" i="1"/>
  <c r="Y60" i="1"/>
  <c r="Y68" i="1"/>
  <c r="Y76" i="1"/>
  <c r="Y84" i="1"/>
  <c r="Y92" i="1"/>
  <c r="Y100" i="1"/>
  <c r="Y108" i="1"/>
  <c r="Y116" i="1"/>
  <c r="Y124" i="1"/>
  <c r="Y132" i="1"/>
  <c r="Y140" i="1"/>
  <c r="Y148" i="1"/>
  <c r="Y156" i="1"/>
  <c r="Y164" i="1"/>
  <c r="Y172" i="1"/>
  <c r="Y49" i="1"/>
  <c r="Y89" i="1"/>
  <c r="Y121" i="1"/>
  <c r="Y161" i="1"/>
  <c r="Y11" i="1"/>
  <c r="Y43" i="1"/>
  <c r="Y5" i="1"/>
  <c r="Y13" i="1"/>
  <c r="Y21" i="1"/>
  <c r="Y29" i="1"/>
  <c r="Y37" i="1"/>
  <c r="Y45" i="1"/>
  <c r="Y53" i="1"/>
  <c r="Y61" i="1"/>
  <c r="Y69" i="1"/>
  <c r="Y77" i="1"/>
  <c r="Y85" i="1"/>
  <c r="Y93" i="1"/>
  <c r="Y101" i="1"/>
  <c r="Y109" i="1"/>
  <c r="Y117" i="1"/>
  <c r="Y125" i="1"/>
  <c r="Y133" i="1"/>
  <c r="Y141" i="1"/>
  <c r="Y149" i="1"/>
  <c r="Y157" i="1"/>
  <c r="Y165" i="1"/>
  <c r="Y173" i="1"/>
  <c r="Y65" i="1"/>
  <c r="Y137" i="1"/>
  <c r="Y27" i="1"/>
  <c r="Y6" i="1"/>
  <c r="Y14" i="1"/>
  <c r="Y22" i="1"/>
  <c r="Y30" i="1"/>
  <c r="Y38" i="1"/>
  <c r="Y46" i="1"/>
  <c r="Y54" i="1"/>
  <c r="Y62" i="1"/>
  <c r="Y70" i="1"/>
  <c r="Y78" i="1"/>
  <c r="Y86" i="1"/>
  <c r="Y94" i="1"/>
  <c r="Y102" i="1"/>
  <c r="Y110" i="1"/>
  <c r="Y118" i="1"/>
  <c r="Y126" i="1"/>
  <c r="Y134" i="1"/>
  <c r="Y142" i="1"/>
  <c r="Y150" i="1"/>
  <c r="Y158" i="1"/>
  <c r="Y166" i="1"/>
  <c r="Y174" i="1"/>
  <c r="Y41" i="1"/>
  <c r="Y113" i="1"/>
  <c r="Y35" i="1"/>
  <c r="Y7" i="1"/>
  <c r="Y15" i="1"/>
  <c r="Y23" i="1"/>
  <c r="Y31" i="1"/>
  <c r="Y39" i="1"/>
  <c r="Y47" i="1"/>
  <c r="Y55" i="1"/>
  <c r="Y63" i="1"/>
  <c r="Y71" i="1"/>
  <c r="Y79" i="1"/>
  <c r="Y87" i="1"/>
  <c r="Y95" i="1"/>
  <c r="Y103" i="1"/>
  <c r="Y111" i="1"/>
  <c r="Y119" i="1"/>
  <c r="Y127" i="1"/>
  <c r="Y135" i="1"/>
  <c r="Y143" i="1"/>
  <c r="Y151" i="1"/>
  <c r="Y159" i="1"/>
  <c r="Y167" i="1"/>
  <c r="Y4" i="1"/>
  <c r="P175" i="1"/>
  <c r="P19" i="1"/>
  <c r="P5" i="1"/>
  <c r="P31" i="1"/>
  <c r="P23" i="1"/>
  <c r="P35" i="1"/>
  <c r="P39" i="1"/>
  <c r="P7" i="1"/>
  <c r="P8" i="1"/>
  <c r="P11" i="1"/>
  <c r="P43" i="1"/>
  <c r="P15" i="1"/>
  <c r="P27" i="1"/>
  <c r="P47" i="1"/>
  <c r="P71" i="1"/>
  <c r="P87" i="1"/>
  <c r="P95" i="1"/>
  <c r="P111" i="1"/>
  <c r="P119" i="1"/>
  <c r="P127" i="1"/>
  <c r="P143" i="1"/>
  <c r="P151" i="1"/>
  <c r="P159" i="1"/>
  <c r="P174" i="1"/>
  <c r="P16" i="1"/>
  <c r="P32" i="1"/>
  <c r="P56" i="1"/>
  <c r="P88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45" i="1"/>
  <c r="P153" i="1"/>
  <c r="P161" i="1"/>
  <c r="P168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69" i="1"/>
  <c r="P51" i="1"/>
  <c r="P75" i="1"/>
  <c r="P91" i="1"/>
  <c r="P115" i="1"/>
  <c r="P131" i="1"/>
  <c r="P139" i="1"/>
  <c r="P155" i="1"/>
  <c r="P170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1" i="1"/>
  <c r="P67" i="1"/>
  <c r="P83" i="1"/>
  <c r="P107" i="1"/>
  <c r="P123" i="1"/>
  <c r="P163" i="1"/>
  <c r="P13" i="1"/>
  <c r="P29" i="1"/>
  <c r="P45" i="1"/>
  <c r="P61" i="1"/>
  <c r="P77" i="1"/>
  <c r="P85" i="1"/>
  <c r="P93" i="1"/>
  <c r="P109" i="1"/>
  <c r="P117" i="1"/>
  <c r="P125" i="1"/>
  <c r="P133" i="1"/>
  <c r="P141" i="1"/>
  <c r="P149" i="1"/>
  <c r="P157" i="1"/>
  <c r="P165" i="1"/>
  <c r="P172" i="1"/>
  <c r="P59" i="1"/>
  <c r="P99" i="1"/>
  <c r="P147" i="1"/>
  <c r="P21" i="1"/>
  <c r="P37" i="1"/>
  <c r="P53" i="1"/>
  <c r="P69" i="1"/>
  <c r="P101" i="1"/>
  <c r="P6" i="1"/>
  <c r="P14" i="1"/>
  <c r="P22" i="1"/>
  <c r="P30" i="1"/>
  <c r="P38" i="1"/>
  <c r="P46" i="1"/>
  <c r="P54" i="1"/>
  <c r="P62" i="1"/>
  <c r="P70" i="1"/>
  <c r="P78" i="1"/>
  <c r="P86" i="1"/>
  <c r="P94" i="1"/>
  <c r="P102" i="1"/>
  <c r="P110" i="1"/>
  <c r="P118" i="1"/>
  <c r="P126" i="1"/>
  <c r="P134" i="1"/>
  <c r="P142" i="1"/>
  <c r="P150" i="1"/>
  <c r="P158" i="1"/>
  <c r="P166" i="1"/>
  <c r="P173" i="1"/>
  <c r="P63" i="1"/>
  <c r="P55" i="1"/>
  <c r="P79" i="1"/>
  <c r="P103" i="1"/>
  <c r="P135" i="1"/>
  <c r="P24" i="1"/>
  <c r="P40" i="1"/>
  <c r="P48" i="1"/>
  <c r="P64" i="1"/>
  <c r="P72" i="1"/>
  <c r="P80" i="1"/>
  <c r="P96" i="1"/>
  <c r="P104" i="1"/>
  <c r="P112" i="1"/>
  <c r="P120" i="1"/>
  <c r="P128" i="1"/>
  <c r="P136" i="1"/>
  <c r="P144" i="1"/>
  <c r="P152" i="1"/>
  <c r="P160" i="1"/>
  <c r="P167" i="1"/>
  <c r="P4" i="1"/>
  <c r="V5" i="1" l="1"/>
  <c r="S5" i="1"/>
  <c r="V6" i="1" l="1"/>
  <c r="S6" i="1"/>
  <c r="V7" i="1" l="1"/>
  <c r="S7" i="1"/>
  <c r="V8" i="1" l="1"/>
  <c r="S8" i="1"/>
  <c r="V9" i="1" l="1"/>
  <c r="S9" i="1"/>
  <c r="V10" i="1" l="1"/>
  <c r="S10" i="1"/>
  <c r="V11" i="1" l="1"/>
  <c r="S11" i="1"/>
  <c r="V12" i="1" l="1"/>
  <c r="S12" i="1"/>
  <c r="V13" i="1" l="1"/>
  <c r="S13" i="1"/>
  <c r="V14" i="1" l="1"/>
  <c r="S14" i="1"/>
  <c r="V15" i="1" l="1"/>
  <c r="S15" i="1"/>
  <c r="V16" i="1" l="1"/>
  <c r="S16" i="1"/>
  <c r="V17" i="1" l="1"/>
  <c r="S17" i="1"/>
  <c r="V18" i="1" l="1"/>
  <c r="S18" i="1"/>
  <c r="V19" i="1" l="1"/>
  <c r="S19" i="1"/>
  <c r="V20" i="1" l="1"/>
  <c r="S20" i="1"/>
  <c r="V21" i="1" l="1"/>
  <c r="S21" i="1"/>
  <c r="V22" i="1" l="1"/>
  <c r="S22" i="1"/>
  <c r="V23" i="1" l="1"/>
  <c r="S23" i="1"/>
  <c r="V24" i="1" l="1"/>
  <c r="S24" i="1"/>
  <c r="V25" i="1" l="1"/>
  <c r="S25" i="1"/>
  <c r="V26" i="1" l="1"/>
  <c r="S26" i="1"/>
  <c r="V27" i="1" l="1"/>
  <c r="S27" i="1"/>
  <c r="V28" i="1" l="1"/>
  <c r="S28" i="1"/>
  <c r="V29" i="1" l="1"/>
  <c r="S29" i="1"/>
  <c r="V30" i="1" l="1"/>
  <c r="S30" i="1"/>
  <c r="V31" i="1" l="1"/>
  <c r="S31" i="1"/>
  <c r="V32" i="1" l="1"/>
  <c r="S32" i="1"/>
  <c r="V33" i="1" l="1"/>
  <c r="S33" i="1"/>
  <c r="V34" i="1" l="1"/>
  <c r="S34" i="1"/>
  <c r="V35" i="1" l="1"/>
  <c r="S35" i="1"/>
  <c r="V36" i="1" l="1"/>
  <c r="S36" i="1"/>
  <c r="V37" i="1" l="1"/>
  <c r="S37" i="1"/>
  <c r="V38" i="1" l="1"/>
  <c r="S38" i="1"/>
  <c r="V39" i="1" l="1"/>
  <c r="S39" i="1"/>
  <c r="V40" i="1" l="1"/>
  <c r="S40" i="1"/>
  <c r="V41" i="1" l="1"/>
  <c r="S41" i="1"/>
  <c r="V42" i="1" l="1"/>
  <c r="S42" i="1"/>
  <c r="V43" i="1" l="1"/>
  <c r="S43" i="1"/>
  <c r="V44" i="1" l="1"/>
  <c r="S44" i="1"/>
  <c r="V45" i="1" l="1"/>
  <c r="S45" i="1"/>
  <c r="V46" i="1" l="1"/>
  <c r="S46" i="1"/>
  <c r="V47" i="1" l="1"/>
  <c r="S47" i="1"/>
  <c r="V48" i="1" l="1"/>
  <c r="S48" i="1"/>
  <c r="V49" i="1" l="1"/>
  <c r="S49" i="1"/>
  <c r="V50" i="1" l="1"/>
  <c r="S50" i="1"/>
  <c r="V51" i="1" l="1"/>
  <c r="S51" i="1"/>
  <c r="V52" i="1" l="1"/>
  <c r="S52" i="1"/>
  <c r="V53" i="1" l="1"/>
  <c r="S53" i="1"/>
  <c r="V54" i="1" l="1"/>
  <c r="S54" i="1"/>
  <c r="V55" i="1" l="1"/>
  <c r="S55" i="1"/>
  <c r="V56" i="1" l="1"/>
  <c r="S56" i="1"/>
  <c r="V57" i="1" l="1"/>
  <c r="S57" i="1"/>
  <c r="V58" i="1" l="1"/>
  <c r="S58" i="1"/>
  <c r="V59" i="1" l="1"/>
  <c r="S59" i="1"/>
  <c r="V60" i="1" l="1"/>
  <c r="S60" i="1"/>
  <c r="V61" i="1" l="1"/>
  <c r="S61" i="1"/>
  <c r="V62" i="1" l="1"/>
  <c r="S62" i="1"/>
  <c r="V63" i="1" l="1"/>
  <c r="S63" i="1"/>
  <c r="V64" i="1" l="1"/>
  <c r="S64" i="1"/>
  <c r="V65" i="1" l="1"/>
  <c r="S65" i="1"/>
  <c r="V66" i="1" l="1"/>
  <c r="S66" i="1"/>
  <c r="V67" i="1" l="1"/>
  <c r="S67" i="1"/>
  <c r="V68" i="1" l="1"/>
  <c r="S68" i="1"/>
  <c r="V69" i="1" l="1"/>
  <c r="S69" i="1"/>
  <c r="V70" i="1" l="1"/>
  <c r="S70" i="1"/>
  <c r="V71" i="1" l="1"/>
  <c r="S71" i="1"/>
  <c r="V72" i="1" l="1"/>
  <c r="S72" i="1"/>
  <c r="V73" i="1" l="1"/>
  <c r="S73" i="1"/>
  <c r="V74" i="1" l="1"/>
  <c r="S74" i="1"/>
  <c r="V75" i="1" l="1"/>
  <c r="S75" i="1"/>
  <c r="V76" i="1" l="1"/>
  <c r="S76" i="1"/>
  <c r="V77" i="1" l="1"/>
  <c r="S77" i="1"/>
  <c r="V78" i="1" l="1"/>
  <c r="S78" i="1"/>
  <c r="V79" i="1" l="1"/>
  <c r="S79" i="1"/>
  <c r="V80" i="1" l="1"/>
  <c r="S80" i="1"/>
  <c r="V81" i="1" l="1"/>
  <c r="S81" i="1"/>
  <c r="V82" i="1" l="1"/>
  <c r="S82" i="1"/>
  <c r="V83" i="1" l="1"/>
  <c r="S83" i="1"/>
  <c r="V84" i="1" l="1"/>
  <c r="S84" i="1"/>
  <c r="V85" i="1" l="1"/>
  <c r="S85" i="1"/>
  <c r="V86" i="1" l="1"/>
  <c r="S86" i="1"/>
  <c r="V87" i="1" l="1"/>
  <c r="S87" i="1"/>
  <c r="V88" i="1" l="1"/>
  <c r="S88" i="1"/>
  <c r="V89" i="1" l="1"/>
  <c r="S89" i="1"/>
  <c r="V90" i="1" l="1"/>
  <c r="S90" i="1"/>
  <c r="V91" i="1" l="1"/>
  <c r="S91" i="1"/>
  <c r="V92" i="1" l="1"/>
  <c r="S92" i="1"/>
  <c r="V93" i="1" l="1"/>
  <c r="S93" i="1"/>
  <c r="V94" i="1" l="1"/>
  <c r="S94" i="1"/>
  <c r="V95" i="1" l="1"/>
  <c r="S95" i="1"/>
  <c r="V96" i="1" l="1"/>
  <c r="S96" i="1"/>
  <c r="V97" i="1" l="1"/>
  <c r="S97" i="1"/>
  <c r="V98" i="1" l="1"/>
  <c r="S98" i="1"/>
  <c r="V99" i="1" l="1"/>
  <c r="S99" i="1"/>
  <c r="V100" i="1" l="1"/>
  <c r="S100" i="1"/>
  <c r="V101" i="1" l="1"/>
  <c r="S101" i="1"/>
  <c r="V102" i="1" l="1"/>
  <c r="S102" i="1"/>
  <c r="V103" i="1" l="1"/>
  <c r="S103" i="1"/>
  <c r="V104" i="1" l="1"/>
  <c r="S104" i="1"/>
  <c r="V105" i="1" l="1"/>
  <c r="S105" i="1"/>
  <c r="V106" i="1" l="1"/>
  <c r="S106" i="1"/>
  <c r="V107" i="1" l="1"/>
  <c r="S107" i="1"/>
  <c r="V108" i="1" l="1"/>
  <c r="S108" i="1"/>
  <c r="V109" i="1" l="1"/>
  <c r="S109" i="1"/>
  <c r="V110" i="1" l="1"/>
  <c r="S110" i="1"/>
  <c r="V111" i="1" l="1"/>
  <c r="S111" i="1"/>
  <c r="V112" i="1" l="1"/>
  <c r="S112" i="1"/>
  <c r="V113" i="1" l="1"/>
  <c r="S113" i="1"/>
  <c r="V114" i="1" l="1"/>
  <c r="S114" i="1"/>
  <c r="V115" i="1" l="1"/>
  <c r="S115" i="1"/>
  <c r="V116" i="1" l="1"/>
  <c r="S116" i="1"/>
  <c r="V117" i="1" l="1"/>
  <c r="S117" i="1"/>
  <c r="V118" i="1" l="1"/>
  <c r="S118" i="1"/>
  <c r="V119" i="1" l="1"/>
  <c r="S119" i="1"/>
  <c r="V121" i="1" l="1"/>
  <c r="S120" i="1"/>
  <c r="V122" i="1" l="1"/>
  <c r="S121" i="1"/>
  <c r="V123" i="1" l="1"/>
  <c r="S122" i="1"/>
  <c r="V124" i="1" l="1"/>
  <c r="S123" i="1"/>
  <c r="V125" i="1" l="1"/>
  <c r="S124" i="1"/>
  <c r="V126" i="1" l="1"/>
  <c r="S125" i="1"/>
  <c r="V127" i="1" l="1"/>
  <c r="S126" i="1"/>
  <c r="V128" i="1" l="1"/>
  <c r="S127" i="1"/>
  <c r="V129" i="1" l="1"/>
  <c r="S128" i="1"/>
  <c r="V130" i="1" l="1"/>
  <c r="S129" i="1"/>
  <c r="V131" i="1" l="1"/>
  <c r="S130" i="1"/>
  <c r="V132" i="1" l="1"/>
  <c r="S131" i="1"/>
  <c r="V133" i="1" l="1"/>
  <c r="S132" i="1"/>
  <c r="V134" i="1" l="1"/>
  <c r="S133" i="1"/>
  <c r="V135" i="1" l="1"/>
  <c r="S134" i="1"/>
  <c r="V136" i="1" l="1"/>
  <c r="S135" i="1"/>
  <c r="V137" i="1" l="1"/>
  <c r="S136" i="1"/>
  <c r="V138" i="1" l="1"/>
  <c r="S137" i="1"/>
  <c r="V139" i="1" l="1"/>
  <c r="S138" i="1"/>
  <c r="V140" i="1" l="1"/>
  <c r="S139" i="1"/>
  <c r="V141" i="1" l="1"/>
  <c r="S140" i="1"/>
  <c r="V142" i="1" l="1"/>
  <c r="S141" i="1"/>
  <c r="V143" i="1" l="1"/>
  <c r="S142" i="1"/>
  <c r="V144" i="1" l="1"/>
  <c r="S143" i="1"/>
  <c r="V145" i="1" l="1"/>
  <c r="S144" i="1"/>
  <c r="V146" i="1" l="1"/>
  <c r="S145" i="1"/>
  <c r="V147" i="1" l="1"/>
  <c r="S146" i="1"/>
  <c r="V148" i="1" l="1"/>
  <c r="S147" i="1"/>
  <c r="V149" i="1" l="1"/>
  <c r="S148" i="1"/>
  <c r="V150" i="1" l="1"/>
  <c r="S149" i="1"/>
  <c r="V151" i="1" l="1"/>
  <c r="S150" i="1"/>
  <c r="V152" i="1" l="1"/>
  <c r="S151" i="1"/>
  <c r="V153" i="1" l="1"/>
  <c r="S152" i="1"/>
  <c r="V154" i="1" l="1"/>
  <c r="S153" i="1"/>
  <c r="V155" i="1" l="1"/>
  <c r="S154" i="1"/>
  <c r="V156" i="1" l="1"/>
  <c r="S155" i="1"/>
  <c r="V157" i="1" l="1"/>
  <c r="S156" i="1"/>
  <c r="V158" i="1" l="1"/>
  <c r="S157" i="1"/>
  <c r="V159" i="1" l="1"/>
  <c r="S158" i="1"/>
  <c r="V160" i="1" l="1"/>
  <c r="S159" i="1"/>
  <c r="V161" i="1" l="1"/>
  <c r="S160" i="1"/>
  <c r="V162" i="1" l="1"/>
  <c r="S161" i="1"/>
  <c r="V163" i="1" l="1"/>
  <c r="S162" i="1"/>
  <c r="V164" i="1" l="1"/>
  <c r="S163" i="1"/>
  <c r="V165" i="1" l="1"/>
  <c r="S164" i="1"/>
  <c r="V166" i="1" l="1"/>
  <c r="S165" i="1"/>
  <c r="S166" i="1" l="1"/>
  <c r="V167" i="1" l="1"/>
  <c r="V168" i="1" l="1"/>
  <c r="S167" i="1"/>
  <c r="V169" i="1" l="1"/>
  <c r="S168" i="1"/>
  <c r="V170" i="1" l="1"/>
  <c r="S169" i="1"/>
  <c r="V171" i="1" l="1"/>
  <c r="S170" i="1"/>
  <c r="V172" i="1" l="1"/>
  <c r="S171" i="1"/>
  <c r="V173" i="1" l="1"/>
  <c r="S172" i="1"/>
  <c r="V175" i="1" l="1"/>
  <c r="V174" i="1"/>
  <c r="S173" i="1"/>
  <c r="S175" i="1" l="1"/>
  <c r="S1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2" authorId="0" shapeId="0" xr:uid="{E5F808E5-4325-41E0-B9A9-896BC1321106}">
      <text>
        <r>
          <rPr>
            <b/>
            <sz val="9"/>
            <color indexed="81"/>
            <rFont val="Tahoma"/>
            <family val="2"/>
          </rPr>
          <t xml:space="preserve">Los pedidos se permiten hacer en escalas de este numero. Si es 5, entonces podran pedir en escalas de 5,10,15,20....  si es 1, podran pedir de a 1,2,3,4,5,6…
</t>
        </r>
      </text>
    </comment>
    <comment ref="M2" authorId="0" shapeId="0" xr:uid="{C03C01C6-E96C-4E73-B81E-57EB5E68DC26}">
      <text>
        <r>
          <rPr>
            <sz val="9"/>
            <color indexed="81"/>
            <rFont val="Tahoma"/>
            <family val="2"/>
          </rPr>
          <t xml:space="preserve">Cantidad minima que se vendera por pagina
</t>
        </r>
      </text>
    </comment>
  </commentList>
</comments>
</file>

<file path=xl/sharedStrings.xml><?xml version="1.0" encoding="utf-8"?>
<sst xmlns="http://schemas.openxmlformats.org/spreadsheetml/2006/main" count="1036" uniqueCount="377">
  <si>
    <t>Código Interno</t>
  </si>
  <si>
    <t>Nombre</t>
  </si>
  <si>
    <t>Stock</t>
  </si>
  <si>
    <t>Precio Lista</t>
  </si>
  <si>
    <t>Precio Mínimo</t>
  </si>
  <si>
    <t>Precio Crédito</t>
  </si>
  <si>
    <t>Precio x caja</t>
  </si>
  <si>
    <t>Cant x set</t>
  </si>
  <si>
    <t>Cant set x bolsa</t>
  </si>
  <si>
    <t>Cantidad por bolsa</t>
  </si>
  <si>
    <t>Ubicación 1 PICKING</t>
  </si>
  <si>
    <t>Cant. Escala 1</t>
  </si>
  <si>
    <t>Cant. Escala 2</t>
  </si>
  <si>
    <t>$ Escala2</t>
  </si>
  <si>
    <t>Cant. Escala 3</t>
  </si>
  <si>
    <t>$ Escala3</t>
  </si>
  <si>
    <t>Cant. Escala 4</t>
  </si>
  <si>
    <t>M1LA12AGUAM MODULO LUPA ALTA 1.5W 12V LUPAS*1 CJ100</t>
  </si>
  <si>
    <t>20</t>
  </si>
  <si>
    <t>5</t>
  </si>
  <si>
    <t>100</t>
  </si>
  <si>
    <t>M11G02</t>
  </si>
  <si>
    <t>M1LA12AMARILLO MODULO LUPA ALTA 1.5W 12V LUPAS*1 CJ100</t>
  </si>
  <si>
    <t>M11G04</t>
  </si>
  <si>
    <t>M1LA12AZUL MODULO LUPA ALTA 1.5W 12V LUPAS*1 CJ100</t>
  </si>
  <si>
    <t>M11G03</t>
  </si>
  <si>
    <t>M1LA12BLANCO MODULO LUPA ALTA 1.5W 12V LUPAS*1 CJ100</t>
  </si>
  <si>
    <t>M11G06</t>
  </si>
  <si>
    <t>M1LA12FUCSIA MODULO LUPA ALTA 1.5W 12V LUPAS*1 CJ100</t>
  </si>
  <si>
    <t>M11G05</t>
  </si>
  <si>
    <t>M1LA12MORADO MODULO LUPA ALTA 1.5W 12V LUPAS*1 CJ100</t>
  </si>
  <si>
    <t>M1LA12ROJO MODULO LUPA ALTA 1.5W 12V LUPAS*1 CJ100</t>
  </si>
  <si>
    <t>M1LA12VERDE MODULO LUPA ALTA 1.5W 12V LUPAS*1 CJ100</t>
  </si>
  <si>
    <t>M1LA24AGUAM MODULO LUPA ALTA 1.5W 24V LUPAS*1 CJ100</t>
  </si>
  <si>
    <t>M09G04</t>
  </si>
  <si>
    <t>M1LA24AMARILLO MODULO LUPA ALTA 1.5W 24V LUPAS*1 CJ100</t>
  </si>
  <si>
    <t>M09E01</t>
  </si>
  <si>
    <t>M1LA24AZUL MODULO LUPA ALTA 1.5W 24V LUPAS*1 CJ100</t>
  </si>
  <si>
    <t>M09G03</t>
  </si>
  <si>
    <t>M1LA24BLANCO MODULO LUPA ALTA 1.5W 24V LUPAS*1 CJ100</t>
  </si>
  <si>
    <t>M09G01</t>
  </si>
  <si>
    <t>M1LA24FUCSIA MODULO LUPA ALTA 1.5W 24V LUPAS*1 CJ100</t>
  </si>
  <si>
    <t>M09G02</t>
  </si>
  <si>
    <t>M1LA24MORADO MODULO LUPA ALTA 1.5W 24V LUPAS*1 CJ100</t>
  </si>
  <si>
    <t>006B07</t>
  </si>
  <si>
    <t>M1LA24ROJO MODULO LUPA ALTA 1.5W 24V LUPAS*1 CJ100</t>
  </si>
  <si>
    <t>M09F03</t>
  </si>
  <si>
    <t>M1LA24VERDE MODULO LUPA ALTA 1.5W 24V LUPAS*1 CJ100</t>
  </si>
  <si>
    <t>M09G05</t>
  </si>
  <si>
    <t>M3LA12AGUAM MODULO LUPA ALTA 3030 7520 3W 12V LUPAS*3 CJ100</t>
  </si>
  <si>
    <t>M11C06</t>
  </si>
  <si>
    <t>M3LA12AMARILLO MODULO LUPA ALTA 3030 7520 3W 12V LUPAS*3 CJ100</t>
  </si>
  <si>
    <t>M11D02</t>
  </si>
  <si>
    <t>M3LA12AZUL MODULO LUPA ALTA 3030 7520 3W 12V LUPAS*3 CJ100</t>
  </si>
  <si>
    <t>M11D03</t>
  </si>
  <si>
    <t>M3LA12BLANCO MODULO LUPA ALTA 3030 7520 3W 12V LUPAS*3 CJ100</t>
  </si>
  <si>
    <t>M11C03</t>
  </si>
  <si>
    <t>M3LA12FUCSIA MODULO LUPA ALTA 3030 7520 3W 12V LUPAS*3 CJ100</t>
  </si>
  <si>
    <t>M11D04</t>
  </si>
  <si>
    <t>M3LA12MORADO MODULO LUPA ALTA 3030 7520 3W 12V LUPAS*3 CJ100</t>
  </si>
  <si>
    <t>M11D05</t>
  </si>
  <si>
    <t>M3LA12ROJO MODULO LUPA ALTA 3030 7520 3W 12V LUPAS*3 CJ100</t>
  </si>
  <si>
    <t>M11C04</t>
  </si>
  <si>
    <t>M3LA12VERDE MODULO LUPA ALTA 3030 7520 3W 12V LUPAS*3 CJ100</t>
  </si>
  <si>
    <t>M11C05</t>
  </si>
  <si>
    <t>M3LA24AGUAM MODULO LUPA ALTA 3030 7520 3W 24V LUPAS*3 CJ100</t>
  </si>
  <si>
    <t>M09C04</t>
  </si>
  <si>
    <t>M3LA24AMARILLO MODULO LUPA ALTA 3030 7520 3W 24V LUPAS*3 CJ100</t>
  </si>
  <si>
    <t>M09D05</t>
  </si>
  <si>
    <t>M3LA24AMARILLO-AMB MODULO LUPA ALTA 3030 7520 3W 24V LUPAS*3 CJ100</t>
  </si>
  <si>
    <t>M09D01</t>
  </si>
  <si>
    <t>M3LA24AZUL MODULO LUPA ALTA 3030 7520 3W 24V LUPAS*3 CJ100</t>
  </si>
  <si>
    <t>M09D02</t>
  </si>
  <si>
    <t>M3LA24BLANCO MODULO LUPA ALTA 3030 7520 3W 24V LUPAS*3 CJ100</t>
  </si>
  <si>
    <t>M09C01</t>
  </si>
  <si>
    <t>M3LA24FUCSIA MODULO LUPA ALTA 3030 7520 3W 24V LUPAS*3 CJ100</t>
  </si>
  <si>
    <t>M09D03</t>
  </si>
  <si>
    <t>M3LA24MORADO MODULO LUPA ALTA 3030 7520 3W 24V LUPAS*3 CJ100</t>
  </si>
  <si>
    <t>M09D04</t>
  </si>
  <si>
    <t>M3LA24ROJO MODULO LUPA ALTA 3030 7520 3W 24V LUPAS*3 CJ100</t>
  </si>
  <si>
    <t>10</t>
  </si>
  <si>
    <t>M09C02</t>
  </si>
  <si>
    <t>M3LA24VERDE MODULO LUPA ALTA 3030 7520 3W 24V LUPAS*3 CJ100</t>
  </si>
  <si>
    <t>M09C03</t>
  </si>
  <si>
    <t>M3X2LA12BLANCO MODULO LUPA ALTA 4.3W 12V LUPAS*3X2 CJ100</t>
  </si>
  <si>
    <t>P42J01</t>
  </si>
  <si>
    <t>M6LA12AGUAM MODULO LUPA ALTA 2835 13620 6W 12V LUPAS*6 CJ100</t>
  </si>
  <si>
    <t>M11A05</t>
  </si>
  <si>
    <t>M6LA12AMARILLO MODULO LUPA ALTA 2835 13620 6W 12V LUPAS*6 CJ100</t>
  </si>
  <si>
    <t>M11B03</t>
  </si>
  <si>
    <t>M6LA12AZUL MODULO LUPA ALTA 2835 13620 6W 12V LUPAS*6 CJ100</t>
  </si>
  <si>
    <t>M11B04</t>
  </si>
  <si>
    <t>M6LA12BLANCO MODULO LUPA ALTA 2835 13620 6W 12V LUPAS*6 CJ100</t>
  </si>
  <si>
    <t>M11A02</t>
  </si>
  <si>
    <t>M6LA12FUCSIA MODULO LUPA ALTA 2835 13620 6W 12V LUPAS*6 CJ100</t>
  </si>
  <si>
    <t>M11B05</t>
  </si>
  <si>
    <t>M6LA12MORADO MODULO LUPA ALTA 2835 13620 6W 12V LUPAS*6 CJ100</t>
  </si>
  <si>
    <t>M11B06</t>
  </si>
  <si>
    <t>M6LA12ROJO MODULO LUPA ALTA 2835 13620 6W 12V LUPAS*6 CJ100</t>
  </si>
  <si>
    <t>M11A03</t>
  </si>
  <si>
    <t>M6LA12VERDE MODULO LUPA ALTA 2835 13620 6W 12V LUPAS*6 CJ100</t>
  </si>
  <si>
    <t>M11A04</t>
  </si>
  <si>
    <t>M6LA24AGUAM MODULO LUPA ALTA 2835 13620 6W 24V LUPAS*6 CJ100</t>
  </si>
  <si>
    <t>M09A04</t>
  </si>
  <si>
    <t>M6LA24AMARILLO MODULO LUPA ALTA 2835 13620 6W 24V LUPAS*6 CJ100</t>
  </si>
  <si>
    <t>M09B01</t>
  </si>
  <si>
    <t>M6LA24AZUL MODULO LUPA ALTA 2835 13620 6W 24V LUPAS*6 CJ100</t>
  </si>
  <si>
    <t>M09B02</t>
  </si>
  <si>
    <t>M6LA24BLANCO MODULO LUPA ALTA 2835 13620 6W 24V LUPAS*6 CJ100</t>
  </si>
  <si>
    <t>M09A01</t>
  </si>
  <si>
    <t>M6LA24FUCSIA MODULO LUPA ALTA 2835 13620 6W 24V LUPAS*6 CJ100</t>
  </si>
  <si>
    <t>M09B03</t>
  </si>
  <si>
    <t>M6LA24MORADO MODULO LUPA ALTA 2835 13620 6W 24V LUPAS*6 CJ100</t>
  </si>
  <si>
    <t>M09B04</t>
  </si>
  <si>
    <t>M6LA24ROJO MODULO LUPA ALTA 2835 13620 6W 24V LUPAS*6 CJ100</t>
  </si>
  <si>
    <t>M09A02</t>
  </si>
  <si>
    <t>M6LA24VERDE MODULO LUPA ALTA 2835 13620 6W 24V LUPAS*6 CJ100</t>
  </si>
  <si>
    <t>M09A03</t>
  </si>
  <si>
    <t>MCAP12BLANCO 12V BLANCO MODULO ENCAPSULADO 1.6W 5730-6 7617 CJ200</t>
  </si>
  <si>
    <t>M10F03</t>
  </si>
  <si>
    <t>MCAP12FUCSIA 12V FUCSIA MODULO ENCAPSULADO 1.6W 5730-6 7617 CJ200</t>
  </si>
  <si>
    <t>M10G03</t>
  </si>
  <si>
    <t>MCAP12MORADO 12V MORADO MODULO ENCAPSULADO 1.6W 5730-6 7617 CJ200</t>
  </si>
  <si>
    <t>M10J02</t>
  </si>
  <si>
    <t>MCAP12ROJO 12V ROJO MODULO ENCAPSULADO 1.6W 5730-6 7617 CJ200</t>
  </si>
  <si>
    <t>M10K02</t>
  </si>
  <si>
    <t>MCAP12VERDE 12V VERDE MODULO ENCAPSULADO 1.6W 5730-6 7617 CJ200</t>
  </si>
  <si>
    <t>M10H02</t>
  </si>
  <si>
    <t>MCAP24AMARILLO 24V AMARILLO MODULO ENCAPSULADO 1.6W 5730-6 7617</t>
  </si>
  <si>
    <t>M10C01</t>
  </si>
  <si>
    <t>MCAP24AZUL 24V AZUL MODULO ENCAPSULADO 1.6W 5730-6 7617</t>
  </si>
  <si>
    <t>M10D02</t>
  </si>
  <si>
    <t>MCAP24FUCSIA 24V FUCSIA MODULO ENCAPSULADO 1.6W 5730-6 7617</t>
  </si>
  <si>
    <t>M10C02</t>
  </si>
  <si>
    <t>MCAP24VERDE 24V VERDE MODULO ENCAPSULADO 1.6W 5730-6 7617</t>
  </si>
  <si>
    <t>M10D01</t>
  </si>
  <si>
    <t>MELG123000K 12V CALIDO 3000K MODULO ECO LUPA 8218 5730-3 140LM 1.44W</t>
  </si>
  <si>
    <t>200</t>
  </si>
  <si>
    <t>M11G01</t>
  </si>
  <si>
    <t>MELG12AGUAM 12V AGUAMARINA MODULO ECO LUPA 8218 5730-3 1.44W</t>
  </si>
  <si>
    <t>M11C02</t>
  </si>
  <si>
    <t>MELG12AMARILLO 12V AMARILLO MODULO ECO LUPA 8218 5730-3 1.44W</t>
  </si>
  <si>
    <t>M11B02</t>
  </si>
  <si>
    <t>MELG12AMBAR 12V AMBAR MODULO ECO LUPA 8218 5730-3 1.44W</t>
  </si>
  <si>
    <t>M11C01</t>
  </si>
  <si>
    <t>MELG12AZUL 12V AZUL MODULO ECO LUPA 8218 5730-3 1.44W</t>
  </si>
  <si>
    <t>M11F02</t>
  </si>
  <si>
    <t>MELG12BLANCO 12V BLANCO FRIO 9000K MODULO ECO LUPA 8218 5730-3 140LM 1.44W</t>
  </si>
  <si>
    <t>P42G03</t>
  </si>
  <si>
    <t>MELG12FUCSIA 12V FUCSIA MODULO ECO LUPA 8218 5730-3 1.44W</t>
  </si>
  <si>
    <t>M11E02</t>
  </si>
  <si>
    <t>MELG12MORADO 12V MORADO MODULO ECO LUPA 8218 5730-3 1.44W</t>
  </si>
  <si>
    <t>M11F01</t>
  </si>
  <si>
    <t>MELG12RGB 12V RGB MODULO ECOLUPA 160° 0.72W 5050-3 7516</t>
  </si>
  <si>
    <t>P42D01</t>
  </si>
  <si>
    <t>MELG12ROJO 12V ROJO MODULO ECO LUPA 8218 5730-3 1.44W</t>
  </si>
  <si>
    <t>M11B01</t>
  </si>
  <si>
    <t>MELG12VERDE 12V VERDE MODULO ECO LUPA 8218 5730-3 1.44W</t>
  </si>
  <si>
    <t>M11E01</t>
  </si>
  <si>
    <t>MELG24AGUAM 24V AGUAMARINA MODULO ECO LUPA 8218 5730-3 1.44W</t>
  </si>
  <si>
    <t>P42B01</t>
  </si>
  <si>
    <t>MELG24AMARILLO 24V AMARILLO MODULO ECO LUPA 8218 5730-3 1.44W</t>
  </si>
  <si>
    <t>P42G01</t>
  </si>
  <si>
    <t>MELG24AZUL 24V AZUL MODULO ECO LUPA 8218 5730-3 1.44W</t>
  </si>
  <si>
    <t>P42B02</t>
  </si>
  <si>
    <t>MELG24BLANCO 24V BLANCO FRIO MODULO ECO LUPA 8218 5730-3 1.44W</t>
  </si>
  <si>
    <t>P42H03</t>
  </si>
  <si>
    <t>MELG24FUCSIA 24V FUCSIA MODULO ECO LUPA 8218 5730-3 1.44W</t>
  </si>
  <si>
    <t>P42F05</t>
  </si>
  <si>
    <t>MELG24ROJO 24V ROJO MODULO ECO LUPA 8218 5730-3 1.44W</t>
  </si>
  <si>
    <t>P42C03</t>
  </si>
  <si>
    <t>MELG24VERDE 24V VERDE MODULO ECO LUPA 8218 5730-3 1.44W</t>
  </si>
  <si>
    <t>P42F03</t>
  </si>
  <si>
    <t>MELMINI12BLANCO 2835-2 2707 BLANCO FRIO 9000K MODULO 0.32W 12V 25LUMEN</t>
  </si>
  <si>
    <t>40</t>
  </si>
  <si>
    <t>800</t>
  </si>
  <si>
    <t>P42E05</t>
  </si>
  <si>
    <t>MELP123000K 12V CALIDO 3000K MODULO ECO LUPA 6513 2835-3 105LM 1W</t>
  </si>
  <si>
    <t>P43H02</t>
  </si>
  <si>
    <t>MELP124000K 12V CALIDO 4000K MODULO ECO LUPA 6513 2835-3 1W</t>
  </si>
  <si>
    <t>P42E02</t>
  </si>
  <si>
    <t>MELP125000K 12V 5000K MODULO ECO LUPA 6513 2835-3 1W</t>
  </si>
  <si>
    <t>P42B03</t>
  </si>
  <si>
    <t>MELP12AGUAM 12V AGUAMARINA MODULO ECO LUPA 6513 2835-3 105LM 1W</t>
  </si>
  <si>
    <t>P43C01</t>
  </si>
  <si>
    <t>MELP12AMARILLO 12V AMARILLO MODULO ECO LUPA 6513 2835-3 1W</t>
  </si>
  <si>
    <t>P43F02</t>
  </si>
  <si>
    <t>MELP12AZUL 12V AZUL MODULO ECO LUPA 6513 2835-3 1W</t>
  </si>
  <si>
    <t>P43A03</t>
  </si>
  <si>
    <t>MELP12BLANCO FRIO 9000K 12V MODULO ECO LUPA 4242 2835-4 210LM 2W</t>
  </si>
  <si>
    <t>P42D05</t>
  </si>
  <si>
    <t>MELP12BLANCO FRIO 9000K 12V MODULO ECO LUPA 6513 2835-3 105LM 1W</t>
  </si>
  <si>
    <t>P43G01</t>
  </si>
  <si>
    <t>MELP12FUCSIA 12V FUSCIA MODULO ECO LUPA 6513 2835-3 1W</t>
  </si>
  <si>
    <t>P43A01</t>
  </si>
  <si>
    <t>MELP12MORADO 12V MORADO MODULO ECO LUPA 6513 2835-3 105LM 1W</t>
  </si>
  <si>
    <t>P43E01</t>
  </si>
  <si>
    <t>MELP12NARANJA 12V NARANJA MODULO ECO LUPA 6513 2835-3 1W</t>
  </si>
  <si>
    <t>P44H02</t>
  </si>
  <si>
    <t>MELP12ROJO 12V ROJO MODULO ECO LUPA 6513 2835-3 1W</t>
  </si>
  <si>
    <t>P43J01</t>
  </si>
  <si>
    <t>MELP12TORONJA 12V TORONJA MODULO ECO LUPA 6513 2835-3 1W</t>
  </si>
  <si>
    <t>P44J02</t>
  </si>
  <si>
    <t>MELP12VERDE 12V VERDE MODULO ECO LUPA 6513 2835-3 1W</t>
  </si>
  <si>
    <t>P43B01</t>
  </si>
  <si>
    <t>MGIGA12AGUAM MODULO GIGANTE AGUAMARINA 12V 2835-3 9520 3.6W CJ60</t>
  </si>
  <si>
    <t>3</t>
  </si>
  <si>
    <t>60</t>
  </si>
  <si>
    <t>M11E06</t>
  </si>
  <si>
    <t>MGIGA12AMARILLO MODULO GIGANTE AMARILLO 12V 2835-3 9520 3.6W CJ60</t>
  </si>
  <si>
    <t>M11F03</t>
  </si>
  <si>
    <t>MGIGA12AZUL MODULO GIGANTE AZUL 12V 2835-3 9520 3.6W CJ60</t>
  </si>
  <si>
    <t>M11F04</t>
  </si>
  <si>
    <t>MGIGA12BLANCOFRIO MODULO GIGANTE BLANCO FRIO12V 2835-3 9520 3.6W CJ60</t>
  </si>
  <si>
    <t>M11E03</t>
  </si>
  <si>
    <t>MGIGA12FUCSIA CLARO MODULO GIGANTE FUCSIA CLARO 12V 2835-3 9520 3.6W SALDO PROMO CJ60</t>
  </si>
  <si>
    <t>M11F07</t>
  </si>
  <si>
    <t>MGIGA12FUCSIA MODULO GIGANTE FUCSIA 12V 2835-3 9520 3.6W CJ60</t>
  </si>
  <si>
    <t>M11F05</t>
  </si>
  <si>
    <t>MGIGA12LILA MODULO GIGANTE LILA 12V 2835-3 9520 3.6W CJ60</t>
  </si>
  <si>
    <t>M11F06</t>
  </si>
  <si>
    <t>MGIGA12MORADO MODULO GIGANTE MORADO 12V 2835-3 9520 3.6W CJ60</t>
  </si>
  <si>
    <t>MGIGA12ROJO MODULO GIGANTE ROJO 12V 2835-3 9520 3.6W CJ60</t>
  </si>
  <si>
    <t>M11E04</t>
  </si>
  <si>
    <t>MGIGA12TURQUEZA MODULO GIGANTE TURQUEZA 12V 2835-3 9520 3.6W CJ60</t>
  </si>
  <si>
    <t>M11C07</t>
  </si>
  <si>
    <t>MGIGA12VERDE MODULO GIGANTE VERDE 12V 2835-3 9520 3.6W CJ60</t>
  </si>
  <si>
    <t>M11E05</t>
  </si>
  <si>
    <t>MGIGA24AGUAM MODULO GIGANTE AGUAMARINA 24V 2835-3 9520 3.6W CJ60</t>
  </si>
  <si>
    <t>M09E04</t>
  </si>
  <si>
    <t>MGIGA24AMARILLO MODULO GIGANTE AMARILLO 24V 2835-3 9520 3.6W CJ60</t>
  </si>
  <si>
    <t>M09F01</t>
  </si>
  <si>
    <t>MGIGA24AZUL MODULO GIGANTE AZUL 24V 2835-3 9520 3.6W CJ60</t>
  </si>
  <si>
    <t>M09F02</t>
  </si>
  <si>
    <t>MGIGA24BLANCOFRIO MODULO GIGANTE BLANCO FRIO 24V - 29V 2835-3 9520 3.6W CJ60</t>
  </si>
  <si>
    <t>M11A01</t>
  </si>
  <si>
    <t>MGIGA24FUCSIA MODULO GIGANTE FUCSIA 24V 2835-3 9520 3.6W CJ60</t>
  </si>
  <si>
    <t>M09F04</t>
  </si>
  <si>
    <t>MGIGA24ROJO MODULO GIGANTE ROJO 24V 2835-3 9520 3.6W CJ60</t>
  </si>
  <si>
    <t>M09E02</t>
  </si>
  <si>
    <t>MGIGA24TURQUEZA MODULO GIGANTE TURQUEZA 24V 2835-3 9520 3.6W CJ60</t>
  </si>
  <si>
    <t>M09C05</t>
  </si>
  <si>
    <t>MGIGA24VERDE MODULO GIGANTE VERDE 24V 2835-3 9520 3.6W CJ60</t>
  </si>
  <si>
    <t>M09E03</t>
  </si>
  <si>
    <t>MGIGA29BLANCOFRIO MODULO GIGANTE BLANCO FRIO 29V 2835-3 9520 3.6W SALDO PROMO</t>
  </si>
  <si>
    <t>M09F05</t>
  </si>
  <si>
    <t>MODULO 110V 2835-3 7818 160° 180LM AZUL 2W</t>
  </si>
  <si>
    <t>P44B04</t>
  </si>
  <si>
    <t>MODULO 110V 2835-3 7818 160° 180LM BLANCO CALIDO 3000K 2W</t>
  </si>
  <si>
    <t>P45H08</t>
  </si>
  <si>
    <t>MODULO 110V 2835-3 7818 160° 180LM BLANCO FRIO 10000K 2W CJ100</t>
  </si>
  <si>
    <t>P42H01</t>
  </si>
  <si>
    <t>MODULO 110V 2835-3 7818 160° 180LM ROJO 2W</t>
  </si>
  <si>
    <t>P43C04</t>
  </si>
  <si>
    <t>MODULO 110V 2835-3 7818 160° 180LM VERDE 2W</t>
  </si>
  <si>
    <t>P44G04</t>
  </si>
  <si>
    <t>MODULO CHASIS 10533 2835-12 5.7W 12V 10000K BLANCO FRIO</t>
  </si>
  <si>
    <t>M11B07</t>
  </si>
  <si>
    <t>MODULO CHASIS 10533 2835-12 5.7W 12V AMARILLO</t>
  </si>
  <si>
    <t>M11A06</t>
  </si>
  <si>
    <t>MODULO CHASIS 10533 2835-12 5.7W 12V AZUL</t>
  </si>
  <si>
    <t>M11D06</t>
  </si>
  <si>
    <t>MODULO CHASIS 10533 2835-12 5.7W 12V ROJO</t>
  </si>
  <si>
    <t>M11D01</t>
  </si>
  <si>
    <t>MODULO CHASIS 10533 2835-12 5.7W 12V VERDE</t>
  </si>
  <si>
    <t>M11E07</t>
  </si>
  <si>
    <t>MODULO CHASIS 10533 2835-12 5.7W 24V 10000K BLANCO FRIO</t>
  </si>
  <si>
    <t>M09B05</t>
  </si>
  <si>
    <t>MODULO CHASIS 10533 2835-12 5.7W 24V AMARILLO</t>
  </si>
  <si>
    <t>M09A05</t>
  </si>
  <si>
    <t>MODULO CHASIS 10533 2835-12 5.7W 24V AZUL</t>
  </si>
  <si>
    <t>MODULO CHASIS 10533 2835-12 5.7W 24V ROJO</t>
  </si>
  <si>
    <t>MODULO CHASIS 10533 2835-12 5.7W 24V VERDE</t>
  </si>
  <si>
    <t>M09E05</t>
  </si>
  <si>
    <t>MODULO ECO TURBO FUCSIA 3030-3 8518 24V 3W 260LUMEN</t>
  </si>
  <si>
    <t>P43C03</t>
  </si>
  <si>
    <t>MODULO ECO TURBO VERDE 3030-3 8518 24V 3W 260LUMEN</t>
  </si>
  <si>
    <t>P44C02</t>
  </si>
  <si>
    <t>MODULO LASER 1.4W AGUAMARINA 12V</t>
  </si>
  <si>
    <t>M10F01</t>
  </si>
  <si>
    <t>MODULO LASER 1.4W AGUAMARINA 24V</t>
  </si>
  <si>
    <t>M08E01</t>
  </si>
  <si>
    <t>MODULO LASER 1.4W AMARILLO 12V</t>
  </si>
  <si>
    <t>M10G01</t>
  </si>
  <si>
    <t>MODULO LASER 1.4W AMARILLO 24V</t>
  </si>
  <si>
    <t>M08F01</t>
  </si>
  <si>
    <t>MODULO LASER 1.4W AZUL 12V</t>
  </si>
  <si>
    <t>M10A01</t>
  </si>
  <si>
    <t>MODULO LASER 1.4W AZUL 24V</t>
  </si>
  <si>
    <t>M08C01</t>
  </si>
  <si>
    <t>MODULO LASER 1.4W BLANCO FRIO 12V</t>
  </si>
  <si>
    <t>M10J01</t>
  </si>
  <si>
    <t>MODULO LASER 1.4W BLANCO FRIO 24V</t>
  </si>
  <si>
    <t>M08H01</t>
  </si>
  <si>
    <t>MODULO LASER 1.4W FUCSIA 12V</t>
  </si>
  <si>
    <t>M10A02</t>
  </si>
  <si>
    <t>MODULO LASER 1.4W FUCSIA 24V</t>
  </si>
  <si>
    <t>M08D01</t>
  </si>
  <si>
    <t>MODULO LASER 1.4W MORADO 12V</t>
  </si>
  <si>
    <t>M10H01</t>
  </si>
  <si>
    <t>MODULO LASER 1.4W MORADO 24V</t>
  </si>
  <si>
    <t>M08G01</t>
  </si>
  <si>
    <t>MODULO LASER 1.4W ROJO 12V</t>
  </si>
  <si>
    <t>M10B02</t>
  </si>
  <si>
    <t>MODULO LASER 1.4W ROJO 24V</t>
  </si>
  <si>
    <t>M08B01</t>
  </si>
  <si>
    <t>MODULO LASER 1.4W VERDE 12V</t>
  </si>
  <si>
    <t>M10B01</t>
  </si>
  <si>
    <t>MODULO LASER 1.4W VERDE 24V</t>
  </si>
  <si>
    <t>M08A01</t>
  </si>
  <si>
    <t>MODULO LATERAL 110V 2.7W 13024 3LUPAS 11000K</t>
  </si>
  <si>
    <t>P43H05</t>
  </si>
  <si>
    <t>MODULO LATERAL 110V 2.7W 13024 3LUPAS 6500K</t>
  </si>
  <si>
    <t>P42F01</t>
  </si>
  <si>
    <t>MODULO LATERAL 3030-1 BLANCO 6000K 2W 12V 10X60º</t>
  </si>
  <si>
    <t>P44A02</t>
  </si>
  <si>
    <t>MODULO LATERAL 3030-3 7420 BLANCO 7500K 2.5W 12V 40X15° CJ90</t>
  </si>
  <si>
    <t>15</t>
  </si>
  <si>
    <t>6</t>
  </si>
  <si>
    <t>90</t>
  </si>
  <si>
    <t>P44D04</t>
  </si>
  <si>
    <t>MODULO MINI 110V 2835-3 2710 160° 90LM BLANCO CALIDO 3000K 1W</t>
  </si>
  <si>
    <t>P42C05</t>
  </si>
  <si>
    <t>MODULO MINI 110V 2835-3 2710 160° 90LM BLANCO FRIO 10000K 1W</t>
  </si>
  <si>
    <t>P42E03</t>
  </si>
  <si>
    <t>MODULO RESINADO 5050-3 7815 RGB SALDO</t>
  </si>
  <si>
    <t>P44F02</t>
  </si>
  <si>
    <t>MODULO RGB PIXEL 2811 5050-3 1.4W</t>
  </si>
  <si>
    <t>P42D03</t>
  </si>
  <si>
    <t>MODULO SH2 6500K TIPO3 LUPA SH 2835-2 4513 BLANCO 61LM 0.72W</t>
  </si>
  <si>
    <t>P43D03</t>
  </si>
  <si>
    <t>MODULO SH2 AMARILLO TIPO3 LUPA SH 2835-2 4513 0.72W</t>
  </si>
  <si>
    <t>P44E03</t>
  </si>
  <si>
    <t>MODULO SH2 BLANCO FRIO 10000K TIPO3 LUPA SH 2835-2 4513 61LM 0.72W</t>
  </si>
  <si>
    <t>P43H03</t>
  </si>
  <si>
    <t>MODULO SH3 7500K BLANCO TIPO3 LUPA SH 2835-3 7013 95LM 1W</t>
  </si>
  <si>
    <t>P43B03</t>
  </si>
  <si>
    <t>MODULO SH3 BLANCO FRIO TIPO3 LUPA SH 2835-3 7013 95LM 1W</t>
  </si>
  <si>
    <t>P42J05</t>
  </si>
  <si>
    <t>MODULO SH3 CALIDO 3000K TIPO3 LUPA SH 2835-3 7013 95LM 1W</t>
  </si>
  <si>
    <t>P42C01</t>
  </si>
  <si>
    <t>MODULO SH3 ROJO TIPO3 LUPA SH 2835-3 7013 1W</t>
  </si>
  <si>
    <t>P44D02</t>
  </si>
  <si>
    <t>MODULO SH4 7500K BLANCO TIPO3 LUPA SH 2835-4 4038 122LM 1.44W</t>
  </si>
  <si>
    <t>P44G02</t>
  </si>
  <si>
    <t>MODULO SH4 CALIDO 4000K TIPO3 LUPA SH 2835-4 4038 175LM 1.44W</t>
  </si>
  <si>
    <t>P44B02</t>
  </si>
  <si>
    <t>MODULO SUPER 2835-3 17032 BLANCO 7500K 3.6W 12V 310LUMEN</t>
  </si>
  <si>
    <t>M10K01</t>
  </si>
  <si>
    <t>25</t>
  </si>
  <si>
    <t>500</t>
  </si>
  <si>
    <t>MODULO TIPO1 3014-3 1608 AMBAR 8-10LM 12V</t>
  </si>
  <si>
    <t>P42H05</t>
  </si>
  <si>
    <t>MODULO TIPO1 3014-3 1608 BLANCO 5500K 25-30LM 12V 0.3W</t>
  </si>
  <si>
    <t>P42A03</t>
  </si>
  <si>
    <t>MODULO TIPO1 3014-3 1608 BLANCO 7500K 25-30LM 12V 0.3W</t>
  </si>
  <si>
    <t>P42G05</t>
  </si>
  <si>
    <t>MODULO TIPO1 3014-3 1608 BLANCO FRIO 10000K 25-30LM 12V 0.3W</t>
  </si>
  <si>
    <t>P43E03</t>
  </si>
  <si>
    <t>MODULO TIPO1 3014-3 1608 CALIDO 3000K 25-30LM 12V 0.3W</t>
  </si>
  <si>
    <t>P44J04</t>
  </si>
  <si>
    <t>MODULO TIPO1 3014-3 1608 CALIDO 4000K 25-30LM 12V 0.3W</t>
  </si>
  <si>
    <t>P44F04</t>
  </si>
  <si>
    <t>MODULO TIPO1 3014-3 1608 VERDE 18-20LM 12V</t>
  </si>
  <si>
    <t>P42F07</t>
  </si>
  <si>
    <t>MODULO TURBO ROJO 24V 2835-3 9018 2.5W 320LUMEN</t>
  </si>
  <si>
    <t>P43G03</t>
  </si>
  <si>
    <t>MODULO TURBO VERDE 12V 2835-3 9018 3W 320LUMEN</t>
  </si>
  <si>
    <t>P43J03</t>
  </si>
  <si>
    <t>Cant. Minima</t>
  </si>
  <si>
    <t>% Escala1</t>
  </si>
  <si>
    <t>$ escala1</t>
  </si>
  <si>
    <t>%escala 2</t>
  </si>
  <si>
    <t>%escala3</t>
  </si>
  <si>
    <t>%escala 4</t>
  </si>
  <si>
    <t>$ Escala 4</t>
  </si>
  <si>
    <t>Escala de cantidades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</si>
</sst>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#,##0"/>
    <numFmt numFmtId="165" formatCode="&quot;$&quot;#,##0.00"/>
    <numFmt numFmtId="167" formatCode="_-&quot;$&quot;\ * #,##0_-;\-&quot;$&quot;\ * #,##0_-;_-&quot;$&quot;\ * &quot;-&quot;??_-;_-@_-"/>
  </numFmts>
  <fonts count="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rgb="FF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/>
    <xf numFmtId="3" fontId="2" fillId="3" borderId="1" xfId="0" applyNumberFormat="1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49" fontId="2" fillId="3" borderId="2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3" fillId="0" borderId="0" xfId="0" applyFont="1"/>
    <xf numFmtId="3" fontId="3" fillId="3" borderId="1" xfId="0" applyNumberFormat="1" applyFont="1" applyFill="1" applyBorder="1"/>
    <xf numFmtId="164" fontId="3" fillId="0" borderId="0" xfId="0" applyNumberFormat="1" applyFont="1"/>
    <xf numFmtId="165" fontId="3" fillId="0" borderId="0" xfId="0" applyNumberFormat="1" applyFont="1"/>
    <xf numFmtId="49" fontId="3" fillId="3" borderId="2" xfId="0" applyNumberFormat="1" applyFont="1" applyFill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4" fillId="4" borderId="0" xfId="0" applyFont="1" applyFill="1"/>
    <xf numFmtId="0" fontId="3" fillId="0" borderId="1" xfId="0" applyFont="1" applyBorder="1"/>
    <xf numFmtId="0" fontId="4" fillId="5" borderId="0" xfId="0" applyFont="1" applyFill="1"/>
    <xf numFmtId="3" fontId="3" fillId="0" borderId="0" xfId="0" applyNumberFormat="1" applyFont="1" applyAlignment="1">
      <alignment horizontal="right"/>
    </xf>
    <xf numFmtId="0" fontId="3" fillId="6" borderId="1" xfId="0" applyFont="1" applyFill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165" fontId="3" fillId="5" borderId="1" xfId="0" applyNumberFormat="1" applyFont="1" applyFill="1" applyBorder="1"/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167" fontId="2" fillId="2" borderId="1" xfId="1" applyNumberFormat="1" applyFont="1" applyFill="1" applyBorder="1"/>
    <xf numFmtId="167" fontId="3" fillId="0" borderId="0" xfId="1" applyNumberFormat="1" applyFont="1"/>
    <xf numFmtId="167" fontId="3" fillId="5" borderId="1" xfId="1" applyNumberFormat="1" applyFont="1" applyFill="1" applyBorder="1"/>
    <xf numFmtId="167" fontId="0" fillId="0" borderId="0" xfId="1" applyNumberFormat="1" applyFont="1"/>
    <xf numFmtId="9" fontId="3" fillId="8" borderId="0" xfId="0" applyNumberFormat="1" applyFont="1" applyFill="1" applyAlignment="1">
      <alignment horizontal="center"/>
    </xf>
    <xf numFmtId="9" fontId="3" fillId="7" borderId="0" xfId="0" applyNumberFormat="1" applyFont="1" applyFill="1" applyAlignment="1">
      <alignment horizontal="center"/>
    </xf>
    <xf numFmtId="9" fontId="3" fillId="9" borderId="0" xfId="0" applyNumberFormat="1" applyFon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7" fontId="0" fillId="9" borderId="0" xfId="0" applyNumberForma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49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wrapText="1"/>
    </xf>
    <xf numFmtId="3" fontId="2" fillId="3" borderId="1" xfId="0" applyNumberFormat="1" applyFont="1" applyFill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167" fontId="2" fillId="2" borderId="1" xfId="1" applyNumberFormat="1" applyFont="1" applyFill="1" applyBorder="1" applyAlignment="1">
      <alignment wrapText="1"/>
    </xf>
    <xf numFmtId="165" fontId="2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 wrapText="1"/>
    </xf>
    <xf numFmtId="0" fontId="2" fillId="10" borderId="1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12" borderId="0" xfId="0" applyFont="1" applyFill="1" applyAlignment="1">
      <alignment horizontal="center" wrapText="1"/>
    </xf>
    <xf numFmtId="0" fontId="0" fillId="12" borderId="0" xfId="0" applyFill="1"/>
    <xf numFmtId="9" fontId="0" fillId="12" borderId="0" xfId="0" applyNumberFormat="1" applyFill="1" applyAlignment="1">
      <alignment horizontal="center"/>
    </xf>
    <xf numFmtId="167" fontId="0" fillId="12" borderId="0" xfId="0" applyNumberFormat="1" applyFill="1"/>
    <xf numFmtId="0" fontId="6" fillId="0" borderId="1" xfId="0" applyFont="1" applyBorder="1" applyAlignment="1">
      <alignment horizontal="center"/>
    </xf>
    <xf numFmtId="0" fontId="2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zoomScaleNormal="100" workbookViewId="0">
      <pane ySplit="2" topLeftCell="A3" activePane="bottomLeft" state="frozen"/>
      <selection pane="bottomLeft" activeCell="D174" sqref="D174"/>
    </sheetView>
  </sheetViews>
  <sheetFormatPr baseColWidth="10" defaultColWidth="14.42578125" defaultRowHeight="15" customHeight="1" x14ac:dyDescent="0.25"/>
  <cols>
    <col min="1" max="1" width="11" customWidth="1"/>
    <col min="2" max="2" width="46.85546875" customWidth="1"/>
    <col min="3" max="3" width="9.28515625" customWidth="1"/>
    <col min="4" max="4" width="7.5703125" customWidth="1"/>
    <col min="5" max="5" width="9.85546875" style="36" customWidth="1"/>
    <col min="6" max="6" width="9.7109375" style="36" customWidth="1"/>
    <col min="7" max="7" width="6" customWidth="1"/>
    <col min="8" max="8" width="11.28515625" customWidth="1"/>
    <col min="9" max="9" width="2" customWidth="1"/>
    <col min="10" max="10" width="9.140625" customWidth="1"/>
    <col min="11" max="11" width="14.7109375" hidden="1" customWidth="1"/>
    <col min="12" max="12" width="14.7109375" style="31" customWidth="1"/>
    <col min="13" max="13" width="14.7109375" style="45" customWidth="1"/>
    <col min="14" max="14" width="7.5703125" style="27" customWidth="1"/>
    <col min="15" max="15" width="9.42578125" style="27" customWidth="1"/>
    <col min="16" max="16" width="9.85546875" style="27" customWidth="1"/>
    <col min="17" max="18" width="8.7109375" style="29" customWidth="1"/>
    <col min="19" max="19" width="9.85546875" style="29" customWidth="1"/>
    <col min="20" max="21" width="8.7109375" style="31" customWidth="1"/>
    <col min="22" max="22" width="9.42578125" style="31" customWidth="1"/>
    <col min="23" max="23" width="8.7109375" customWidth="1"/>
    <col min="24" max="24" width="8.7109375" style="25" customWidth="1"/>
    <col min="25" max="25" width="9.85546875" customWidth="1"/>
    <col min="26" max="29" width="9.140625" customWidth="1"/>
  </cols>
  <sheetData>
    <row r="1" spans="1:25" ht="30.7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25" s="58" customFormat="1" ht="29.25" customHeight="1" x14ac:dyDescent="0.25">
      <c r="A2" s="47" t="s">
        <v>0</v>
      </c>
      <c r="B2" s="47" t="s">
        <v>1</v>
      </c>
      <c r="C2" s="48" t="s">
        <v>2</v>
      </c>
      <c r="D2" s="49" t="s">
        <v>3</v>
      </c>
      <c r="E2" s="50" t="s">
        <v>4</v>
      </c>
      <c r="F2" s="50" t="s">
        <v>5</v>
      </c>
      <c r="G2" s="51" t="s">
        <v>6</v>
      </c>
      <c r="H2" s="52" t="s">
        <v>7</v>
      </c>
      <c r="I2" s="52" t="s">
        <v>8</v>
      </c>
      <c r="J2" s="53" t="s">
        <v>9</v>
      </c>
      <c r="K2" s="47" t="s">
        <v>10</v>
      </c>
      <c r="L2" s="64" t="s">
        <v>376</v>
      </c>
      <c r="M2" s="54" t="s">
        <v>369</v>
      </c>
      <c r="N2" s="55" t="s">
        <v>11</v>
      </c>
      <c r="O2" s="55" t="s">
        <v>370</v>
      </c>
      <c r="P2" s="55" t="s">
        <v>371</v>
      </c>
      <c r="Q2" s="56" t="s">
        <v>12</v>
      </c>
      <c r="R2" s="56" t="s">
        <v>372</v>
      </c>
      <c r="S2" s="56" t="s">
        <v>13</v>
      </c>
      <c r="T2" s="57" t="s">
        <v>14</v>
      </c>
      <c r="U2" s="57" t="s">
        <v>373</v>
      </c>
      <c r="V2" s="57" t="s">
        <v>15</v>
      </c>
      <c r="W2" s="59" t="s">
        <v>16</v>
      </c>
      <c r="X2" s="59" t="s">
        <v>374</v>
      </c>
      <c r="Y2" s="59" t="s">
        <v>375</v>
      </c>
    </row>
    <row r="3" spans="1:25" ht="14.25" customHeight="1" x14ac:dyDescent="0.25">
      <c r="A3" s="1"/>
      <c r="B3" s="1"/>
      <c r="C3" s="2"/>
      <c r="D3" s="3"/>
      <c r="E3" s="33"/>
      <c r="F3" s="33"/>
      <c r="G3" s="4"/>
      <c r="H3" s="5"/>
      <c r="I3" s="5"/>
      <c r="J3" s="6"/>
      <c r="K3" s="1"/>
      <c r="L3" s="65"/>
      <c r="M3" s="32"/>
      <c r="N3" s="26"/>
      <c r="O3" s="38">
        <v>7.0000000000000007E-2</v>
      </c>
      <c r="P3" s="26"/>
      <c r="Q3" s="28"/>
      <c r="R3" s="37">
        <v>0.15</v>
      </c>
      <c r="S3" s="28"/>
      <c r="T3" s="30"/>
      <c r="U3" s="39">
        <v>0.2</v>
      </c>
      <c r="V3" s="30"/>
      <c r="W3" s="60"/>
      <c r="X3" s="61">
        <v>0.25</v>
      </c>
      <c r="Y3" s="60"/>
    </row>
    <row r="4" spans="1:25" ht="14.25" customHeight="1" x14ac:dyDescent="0.25">
      <c r="A4" s="7">
        <v>3030345</v>
      </c>
      <c r="B4" s="8" t="s">
        <v>17</v>
      </c>
      <c r="C4" s="9">
        <v>1562</v>
      </c>
      <c r="D4" s="10">
        <v>700.00559999999996</v>
      </c>
      <c r="E4" s="34">
        <v>580.99999986</v>
      </c>
      <c r="F4" s="34">
        <v>999.99999946000003</v>
      </c>
      <c r="G4" s="11"/>
      <c r="H4" s="12" t="s">
        <v>18</v>
      </c>
      <c r="I4" s="12" t="s">
        <v>19</v>
      </c>
      <c r="J4" s="13" t="s">
        <v>20</v>
      </c>
      <c r="K4" s="14" t="s">
        <v>21</v>
      </c>
      <c r="L4" s="66">
        <v>5</v>
      </c>
      <c r="M4" s="44">
        <v>10</v>
      </c>
      <c r="N4" s="43" t="s">
        <v>18</v>
      </c>
      <c r="O4" s="38">
        <v>7.0000000000000007E-2</v>
      </c>
      <c r="P4" s="40">
        <f>F4-(F4*O4)</f>
        <v>929.99999949779999</v>
      </c>
      <c r="Q4" s="29">
        <v>100</v>
      </c>
      <c r="R4" s="37">
        <v>0.15</v>
      </c>
      <c r="S4" s="41">
        <f>F4-(F4*R4)</f>
        <v>849.99999954100008</v>
      </c>
      <c r="T4" s="31">
        <v>500</v>
      </c>
      <c r="U4" s="39">
        <v>0.2</v>
      </c>
      <c r="V4" s="42">
        <f>F4-(F4*U4)</f>
        <v>799.99999956800002</v>
      </c>
      <c r="W4" s="60">
        <v>1000</v>
      </c>
      <c r="X4" s="61">
        <f>X3</f>
        <v>0.25</v>
      </c>
      <c r="Y4" s="62">
        <f>F4-(F4*X4)</f>
        <v>749.99999959499996</v>
      </c>
    </row>
    <row r="5" spans="1:25" ht="14.25" customHeight="1" x14ac:dyDescent="0.25">
      <c r="A5" s="7">
        <v>3030347</v>
      </c>
      <c r="B5" s="8" t="s">
        <v>22</v>
      </c>
      <c r="C5" s="9">
        <v>1</v>
      </c>
      <c r="D5" s="10">
        <v>700.00559999999996</v>
      </c>
      <c r="E5" s="34">
        <v>580.99999986</v>
      </c>
      <c r="F5" s="34">
        <v>999.99999946000003</v>
      </c>
      <c r="G5" s="11"/>
      <c r="H5" s="12" t="s">
        <v>18</v>
      </c>
      <c r="I5" s="12" t="s">
        <v>19</v>
      </c>
      <c r="J5" s="13" t="s">
        <v>20</v>
      </c>
      <c r="K5" s="14" t="s">
        <v>23</v>
      </c>
      <c r="L5" s="66">
        <v>5</v>
      </c>
      <c r="M5" s="44">
        <v>10</v>
      </c>
      <c r="N5" s="43" t="s">
        <v>18</v>
      </c>
      <c r="O5" s="38">
        <v>7.0000000000000007E-2</v>
      </c>
      <c r="P5" s="40">
        <f t="shared" ref="P5:P68" si="0">F5-(F5*O5)</f>
        <v>929.99999949779999</v>
      </c>
      <c r="Q5" s="29">
        <v>100</v>
      </c>
      <c r="R5" s="37">
        <v>0.15</v>
      </c>
      <c r="S5" s="41">
        <f t="shared" ref="S5:S68" si="1">F5-(F5*R5)</f>
        <v>849.99999954100008</v>
      </c>
      <c r="T5" s="31">
        <v>500</v>
      </c>
      <c r="U5" s="39">
        <v>0.2</v>
      </c>
      <c r="V5" s="42">
        <f t="shared" ref="V5:V68" si="2">F5-(F5*U5)</f>
        <v>799.99999956800002</v>
      </c>
      <c r="W5" s="60">
        <v>1000</v>
      </c>
      <c r="X5" s="61">
        <f t="shared" ref="X5:X68" si="3">X4</f>
        <v>0.25</v>
      </c>
      <c r="Y5" s="62">
        <f t="shared" ref="Y5:Y68" si="4">F5-(F5*X5)</f>
        <v>749.99999959499996</v>
      </c>
    </row>
    <row r="6" spans="1:25" ht="14.25" customHeight="1" x14ac:dyDescent="0.25">
      <c r="A6" s="7">
        <v>3030348</v>
      </c>
      <c r="B6" s="8" t="s">
        <v>24</v>
      </c>
      <c r="C6" s="9">
        <v>739</v>
      </c>
      <c r="D6" s="10">
        <v>700.00559999999996</v>
      </c>
      <c r="E6" s="34">
        <v>580.99999986</v>
      </c>
      <c r="F6" s="34">
        <v>999.99999946000003</v>
      </c>
      <c r="G6" s="11"/>
      <c r="H6" s="12" t="s">
        <v>18</v>
      </c>
      <c r="I6" s="12" t="s">
        <v>19</v>
      </c>
      <c r="J6" s="13" t="s">
        <v>20</v>
      </c>
      <c r="K6" s="14" t="s">
        <v>25</v>
      </c>
      <c r="L6" s="66">
        <v>5</v>
      </c>
      <c r="M6" s="44">
        <v>10</v>
      </c>
      <c r="N6" s="43" t="s">
        <v>18</v>
      </c>
      <c r="O6" s="38">
        <v>7.0000000000000007E-2</v>
      </c>
      <c r="P6" s="40">
        <f t="shared" si="0"/>
        <v>929.99999949779999</v>
      </c>
      <c r="Q6" s="29">
        <v>100</v>
      </c>
      <c r="R6" s="37">
        <v>0.15</v>
      </c>
      <c r="S6" s="41">
        <f t="shared" si="1"/>
        <v>849.99999954100008</v>
      </c>
      <c r="T6" s="31">
        <v>500</v>
      </c>
      <c r="U6" s="39">
        <v>0.2</v>
      </c>
      <c r="V6" s="42">
        <f t="shared" si="2"/>
        <v>799.99999956800002</v>
      </c>
      <c r="W6" s="60">
        <v>1000</v>
      </c>
      <c r="X6" s="61">
        <f t="shared" si="3"/>
        <v>0.25</v>
      </c>
      <c r="Y6" s="62">
        <f t="shared" si="4"/>
        <v>749.99999959499996</v>
      </c>
    </row>
    <row r="7" spans="1:25" ht="14.25" customHeight="1" x14ac:dyDescent="0.25">
      <c r="A7" s="7">
        <v>3030344</v>
      </c>
      <c r="B7" s="8" t="s">
        <v>26</v>
      </c>
      <c r="C7" s="9">
        <v>0</v>
      </c>
      <c r="D7" s="10">
        <v>700.00559999999996</v>
      </c>
      <c r="E7" s="34">
        <v>580.99999986</v>
      </c>
      <c r="F7" s="34">
        <v>999.99999946000003</v>
      </c>
      <c r="G7" s="11"/>
      <c r="H7" s="12" t="s">
        <v>18</v>
      </c>
      <c r="I7" s="12" t="s">
        <v>19</v>
      </c>
      <c r="J7" s="13" t="s">
        <v>20</v>
      </c>
      <c r="K7" s="14" t="s">
        <v>27</v>
      </c>
      <c r="L7" s="66">
        <v>5</v>
      </c>
      <c r="M7" s="44">
        <v>10</v>
      </c>
      <c r="N7" s="43" t="s">
        <v>18</v>
      </c>
      <c r="O7" s="38">
        <v>7.0000000000000007E-2</v>
      </c>
      <c r="P7" s="40">
        <f t="shared" si="0"/>
        <v>929.99999949779999</v>
      </c>
      <c r="Q7" s="29">
        <v>100</v>
      </c>
      <c r="R7" s="37">
        <v>0.15</v>
      </c>
      <c r="S7" s="41">
        <f t="shared" si="1"/>
        <v>849.99999954100008</v>
      </c>
      <c r="T7" s="31">
        <v>500</v>
      </c>
      <c r="U7" s="39">
        <v>0.2</v>
      </c>
      <c r="V7" s="42">
        <f t="shared" si="2"/>
        <v>799.99999956800002</v>
      </c>
      <c r="W7" s="60">
        <v>1000</v>
      </c>
      <c r="X7" s="61">
        <f t="shared" si="3"/>
        <v>0.25</v>
      </c>
      <c r="Y7" s="62">
        <f t="shared" si="4"/>
        <v>749.99999959499996</v>
      </c>
    </row>
    <row r="8" spans="1:25" ht="14.25" customHeight="1" x14ac:dyDescent="0.25">
      <c r="A8" s="7">
        <v>3030350</v>
      </c>
      <c r="B8" s="8" t="s">
        <v>28</v>
      </c>
      <c r="C8" s="9">
        <v>915</v>
      </c>
      <c r="D8" s="10">
        <v>700.00559999999996</v>
      </c>
      <c r="E8" s="34">
        <v>580.99999986</v>
      </c>
      <c r="F8" s="34">
        <v>999.99999946000003</v>
      </c>
      <c r="G8" s="11"/>
      <c r="H8" s="12" t="s">
        <v>18</v>
      </c>
      <c r="I8" s="12" t="s">
        <v>19</v>
      </c>
      <c r="J8" s="13" t="s">
        <v>20</v>
      </c>
      <c r="K8" s="14" t="s">
        <v>29</v>
      </c>
      <c r="L8" s="66">
        <v>5</v>
      </c>
      <c r="M8" s="44">
        <v>10</v>
      </c>
      <c r="N8" s="43" t="s">
        <v>18</v>
      </c>
      <c r="O8" s="38">
        <v>7.0000000000000007E-2</v>
      </c>
      <c r="P8" s="40">
        <f t="shared" si="0"/>
        <v>929.99999949779999</v>
      </c>
      <c r="Q8" s="29">
        <v>100</v>
      </c>
      <c r="R8" s="37">
        <v>0.15</v>
      </c>
      <c r="S8" s="41">
        <f t="shared" si="1"/>
        <v>849.99999954100008</v>
      </c>
      <c r="T8" s="31">
        <v>500</v>
      </c>
      <c r="U8" s="39">
        <v>0.2</v>
      </c>
      <c r="V8" s="42">
        <f t="shared" si="2"/>
        <v>799.99999956800002</v>
      </c>
      <c r="W8" s="60">
        <v>1000</v>
      </c>
      <c r="X8" s="61">
        <f t="shared" si="3"/>
        <v>0.25</v>
      </c>
      <c r="Y8" s="62">
        <f t="shared" si="4"/>
        <v>749.99999959499996</v>
      </c>
    </row>
    <row r="9" spans="1:25" ht="14.25" customHeight="1" x14ac:dyDescent="0.25">
      <c r="A9" s="7">
        <v>3030346</v>
      </c>
      <c r="B9" s="8" t="s">
        <v>30</v>
      </c>
      <c r="C9" s="9">
        <v>841</v>
      </c>
      <c r="D9" s="10">
        <v>700.00559999999996</v>
      </c>
      <c r="E9" s="34">
        <v>580.99999986</v>
      </c>
      <c r="F9" s="34">
        <v>999.99999946000003</v>
      </c>
      <c r="G9" s="11"/>
      <c r="H9" s="12" t="s">
        <v>18</v>
      </c>
      <c r="I9" s="12" t="s">
        <v>19</v>
      </c>
      <c r="J9" s="13" t="s">
        <v>20</v>
      </c>
      <c r="K9" s="14" t="s">
        <v>23</v>
      </c>
      <c r="L9" s="66">
        <v>5</v>
      </c>
      <c r="M9" s="44">
        <v>10</v>
      </c>
      <c r="N9" s="43" t="s">
        <v>18</v>
      </c>
      <c r="O9" s="38">
        <v>7.0000000000000007E-2</v>
      </c>
      <c r="P9" s="40">
        <f t="shared" si="0"/>
        <v>929.99999949779999</v>
      </c>
      <c r="Q9" s="29">
        <v>100</v>
      </c>
      <c r="R9" s="37">
        <v>0.15</v>
      </c>
      <c r="S9" s="41">
        <f t="shared" si="1"/>
        <v>849.99999954100008</v>
      </c>
      <c r="T9" s="31">
        <v>500</v>
      </c>
      <c r="U9" s="39">
        <v>0.2</v>
      </c>
      <c r="V9" s="42">
        <f t="shared" si="2"/>
        <v>799.99999956800002</v>
      </c>
      <c r="W9" s="60">
        <v>1000</v>
      </c>
      <c r="X9" s="61">
        <f t="shared" si="3"/>
        <v>0.25</v>
      </c>
      <c r="Y9" s="62">
        <f t="shared" si="4"/>
        <v>749.99999959499996</v>
      </c>
    </row>
    <row r="10" spans="1:25" ht="14.25" customHeight="1" x14ac:dyDescent="0.25">
      <c r="A10" s="7">
        <v>3030349</v>
      </c>
      <c r="B10" s="8" t="s">
        <v>31</v>
      </c>
      <c r="C10" s="9">
        <v>589</v>
      </c>
      <c r="D10" s="10">
        <v>700.00559999999996</v>
      </c>
      <c r="E10" s="34">
        <v>580.99999986</v>
      </c>
      <c r="F10" s="34">
        <v>999.99999946000003</v>
      </c>
      <c r="G10" s="11"/>
      <c r="H10" s="12" t="s">
        <v>18</v>
      </c>
      <c r="I10" s="12" t="s">
        <v>19</v>
      </c>
      <c r="J10" s="13" t="s">
        <v>20</v>
      </c>
      <c r="K10" s="14" t="s">
        <v>25</v>
      </c>
      <c r="L10" s="66">
        <v>5</v>
      </c>
      <c r="M10" s="44">
        <v>10</v>
      </c>
      <c r="N10" s="43" t="s">
        <v>18</v>
      </c>
      <c r="O10" s="38">
        <v>7.0000000000000007E-2</v>
      </c>
      <c r="P10" s="40">
        <f t="shared" si="0"/>
        <v>929.99999949779999</v>
      </c>
      <c r="Q10" s="29">
        <v>100</v>
      </c>
      <c r="R10" s="37">
        <v>0.15</v>
      </c>
      <c r="S10" s="41">
        <f t="shared" si="1"/>
        <v>849.99999954100008</v>
      </c>
      <c r="T10" s="31">
        <v>500</v>
      </c>
      <c r="U10" s="39">
        <v>0.2</v>
      </c>
      <c r="V10" s="42">
        <f t="shared" si="2"/>
        <v>799.99999956800002</v>
      </c>
      <c r="W10" s="60">
        <v>1000</v>
      </c>
      <c r="X10" s="61">
        <f t="shared" si="3"/>
        <v>0.25</v>
      </c>
      <c r="Y10" s="62">
        <f t="shared" si="4"/>
        <v>749.99999959499996</v>
      </c>
    </row>
    <row r="11" spans="1:25" ht="14.25" customHeight="1" x14ac:dyDescent="0.25">
      <c r="A11" s="7">
        <v>3030351</v>
      </c>
      <c r="B11" s="8" t="s">
        <v>32</v>
      </c>
      <c r="C11" s="9">
        <v>676</v>
      </c>
      <c r="D11" s="10">
        <v>700.00559999999996</v>
      </c>
      <c r="E11" s="34">
        <v>580.99999986</v>
      </c>
      <c r="F11" s="34">
        <v>999.99999946000003</v>
      </c>
      <c r="G11" s="11"/>
      <c r="H11" s="12" t="s">
        <v>18</v>
      </c>
      <c r="I11" s="12" t="s">
        <v>19</v>
      </c>
      <c r="J11" s="13" t="s">
        <v>20</v>
      </c>
      <c r="K11" s="14" t="s">
        <v>29</v>
      </c>
      <c r="L11" s="66">
        <v>5</v>
      </c>
      <c r="M11" s="44">
        <v>10</v>
      </c>
      <c r="N11" s="43" t="s">
        <v>18</v>
      </c>
      <c r="O11" s="38">
        <v>7.0000000000000007E-2</v>
      </c>
      <c r="P11" s="40">
        <f t="shared" si="0"/>
        <v>929.99999949779999</v>
      </c>
      <c r="Q11" s="29">
        <v>100</v>
      </c>
      <c r="R11" s="37">
        <v>0.15</v>
      </c>
      <c r="S11" s="41">
        <f t="shared" si="1"/>
        <v>849.99999954100008</v>
      </c>
      <c r="T11" s="31">
        <v>500</v>
      </c>
      <c r="U11" s="39">
        <v>0.2</v>
      </c>
      <c r="V11" s="42">
        <f t="shared" si="2"/>
        <v>799.99999956800002</v>
      </c>
      <c r="W11" s="60">
        <v>1000</v>
      </c>
      <c r="X11" s="61">
        <f t="shared" si="3"/>
        <v>0.25</v>
      </c>
      <c r="Y11" s="62">
        <f t="shared" si="4"/>
        <v>749.99999959499996</v>
      </c>
    </row>
    <row r="12" spans="1:25" ht="14.25" customHeight="1" x14ac:dyDescent="0.25">
      <c r="A12" s="15">
        <v>3030353</v>
      </c>
      <c r="B12" s="8" t="s">
        <v>33</v>
      </c>
      <c r="C12" s="9">
        <v>1880</v>
      </c>
      <c r="D12" s="10">
        <v>700.00559999999996</v>
      </c>
      <c r="E12" s="34">
        <v>580.99999986</v>
      </c>
      <c r="F12" s="34">
        <v>999.99999946000003</v>
      </c>
      <c r="G12" s="11"/>
      <c r="H12" s="12" t="s">
        <v>18</v>
      </c>
      <c r="I12" s="12" t="s">
        <v>19</v>
      </c>
      <c r="J12" s="13" t="s">
        <v>20</v>
      </c>
      <c r="K12" s="14" t="s">
        <v>34</v>
      </c>
      <c r="L12" s="66">
        <v>5</v>
      </c>
      <c r="M12" s="44">
        <v>10</v>
      </c>
      <c r="N12" s="43" t="s">
        <v>18</v>
      </c>
      <c r="O12" s="38">
        <v>7.0000000000000007E-2</v>
      </c>
      <c r="P12" s="40">
        <f t="shared" si="0"/>
        <v>929.99999949779999</v>
      </c>
      <c r="Q12" s="29">
        <v>100</v>
      </c>
      <c r="R12" s="37">
        <v>0.15</v>
      </c>
      <c r="S12" s="41">
        <f t="shared" si="1"/>
        <v>849.99999954100008</v>
      </c>
      <c r="T12" s="31">
        <v>500</v>
      </c>
      <c r="U12" s="39">
        <v>0.2</v>
      </c>
      <c r="V12" s="42">
        <f t="shared" si="2"/>
        <v>799.99999956800002</v>
      </c>
      <c r="W12" s="60">
        <v>1000</v>
      </c>
      <c r="X12" s="61">
        <f t="shared" si="3"/>
        <v>0.25</v>
      </c>
      <c r="Y12" s="62">
        <f t="shared" si="4"/>
        <v>749.99999959499996</v>
      </c>
    </row>
    <row r="13" spans="1:25" ht="14.25" customHeight="1" x14ac:dyDescent="0.25">
      <c r="A13" s="15">
        <v>3030355</v>
      </c>
      <c r="B13" s="8" t="s">
        <v>35</v>
      </c>
      <c r="C13" s="9">
        <v>900</v>
      </c>
      <c r="D13" s="10">
        <v>700.00559999999996</v>
      </c>
      <c r="E13" s="34">
        <v>580.99999986</v>
      </c>
      <c r="F13" s="34">
        <v>999.99999946000003</v>
      </c>
      <c r="G13" s="11"/>
      <c r="H13" s="12" t="s">
        <v>18</v>
      </c>
      <c r="I13" s="12" t="s">
        <v>19</v>
      </c>
      <c r="J13" s="13" t="s">
        <v>20</v>
      </c>
      <c r="K13" s="14" t="s">
        <v>36</v>
      </c>
      <c r="L13" s="66">
        <v>5</v>
      </c>
      <c r="M13" s="44">
        <v>10</v>
      </c>
      <c r="N13" s="43" t="s">
        <v>18</v>
      </c>
      <c r="O13" s="38">
        <v>7.0000000000000007E-2</v>
      </c>
      <c r="P13" s="40">
        <f t="shared" si="0"/>
        <v>929.99999949779999</v>
      </c>
      <c r="Q13" s="29">
        <v>100</v>
      </c>
      <c r="R13" s="37">
        <v>0.15</v>
      </c>
      <c r="S13" s="41">
        <f t="shared" si="1"/>
        <v>849.99999954100008</v>
      </c>
      <c r="T13" s="31">
        <v>500</v>
      </c>
      <c r="U13" s="39">
        <v>0.2</v>
      </c>
      <c r="V13" s="42">
        <f t="shared" si="2"/>
        <v>799.99999956800002</v>
      </c>
      <c r="W13" s="60">
        <v>1000</v>
      </c>
      <c r="X13" s="61">
        <f t="shared" si="3"/>
        <v>0.25</v>
      </c>
      <c r="Y13" s="62">
        <f t="shared" si="4"/>
        <v>749.99999959499996</v>
      </c>
    </row>
    <row r="14" spans="1:25" ht="14.25" customHeight="1" x14ac:dyDescent="0.25">
      <c r="A14" s="15">
        <v>3030356</v>
      </c>
      <c r="B14" s="8" t="s">
        <v>37</v>
      </c>
      <c r="C14" s="9">
        <v>838</v>
      </c>
      <c r="D14" s="10">
        <v>700.00559999999996</v>
      </c>
      <c r="E14" s="34">
        <v>580.99999986</v>
      </c>
      <c r="F14" s="34">
        <v>999.99999946000003</v>
      </c>
      <c r="G14" s="11"/>
      <c r="H14" s="12" t="s">
        <v>18</v>
      </c>
      <c r="I14" s="12" t="s">
        <v>19</v>
      </c>
      <c r="J14" s="13" t="s">
        <v>20</v>
      </c>
      <c r="K14" s="14" t="s">
        <v>38</v>
      </c>
      <c r="L14" s="66">
        <v>5</v>
      </c>
      <c r="M14" s="44">
        <v>10</v>
      </c>
      <c r="N14" s="43" t="s">
        <v>18</v>
      </c>
      <c r="O14" s="38">
        <v>7.0000000000000007E-2</v>
      </c>
      <c r="P14" s="40">
        <f t="shared" si="0"/>
        <v>929.99999949779999</v>
      </c>
      <c r="Q14" s="29">
        <v>100</v>
      </c>
      <c r="R14" s="37">
        <v>0.15</v>
      </c>
      <c r="S14" s="41">
        <f t="shared" si="1"/>
        <v>849.99999954100008</v>
      </c>
      <c r="T14" s="31">
        <v>500</v>
      </c>
      <c r="U14" s="39">
        <v>0.2</v>
      </c>
      <c r="V14" s="42">
        <f t="shared" si="2"/>
        <v>799.99999956800002</v>
      </c>
      <c r="W14" s="60">
        <v>1000</v>
      </c>
      <c r="X14" s="61">
        <f t="shared" si="3"/>
        <v>0.25</v>
      </c>
      <c r="Y14" s="62">
        <f t="shared" si="4"/>
        <v>749.99999959499996</v>
      </c>
    </row>
    <row r="15" spans="1:25" ht="14.25" customHeight="1" x14ac:dyDescent="0.25">
      <c r="A15" s="15">
        <v>3030352</v>
      </c>
      <c r="B15" s="8" t="s">
        <v>39</v>
      </c>
      <c r="C15" s="9">
        <v>1560</v>
      </c>
      <c r="D15" s="10">
        <v>700.00559999999996</v>
      </c>
      <c r="E15" s="34">
        <v>580.99999986</v>
      </c>
      <c r="F15" s="34">
        <v>999.99999946000003</v>
      </c>
      <c r="G15" s="11"/>
      <c r="H15" s="12" t="s">
        <v>18</v>
      </c>
      <c r="I15" s="12" t="s">
        <v>19</v>
      </c>
      <c r="J15" s="13" t="s">
        <v>20</v>
      </c>
      <c r="K15" s="14" t="s">
        <v>40</v>
      </c>
      <c r="L15" s="66">
        <v>5</v>
      </c>
      <c r="M15" s="44">
        <v>10</v>
      </c>
      <c r="N15" s="43" t="s">
        <v>18</v>
      </c>
      <c r="O15" s="38">
        <v>7.0000000000000007E-2</v>
      </c>
      <c r="P15" s="40">
        <f t="shared" si="0"/>
        <v>929.99999949779999</v>
      </c>
      <c r="Q15" s="29">
        <v>100</v>
      </c>
      <c r="R15" s="37">
        <v>0.15</v>
      </c>
      <c r="S15" s="41">
        <f t="shared" si="1"/>
        <v>849.99999954100008</v>
      </c>
      <c r="T15" s="31">
        <v>500</v>
      </c>
      <c r="U15" s="39">
        <v>0.2</v>
      </c>
      <c r="V15" s="42">
        <f t="shared" si="2"/>
        <v>799.99999956800002</v>
      </c>
      <c r="W15" s="60">
        <v>1000</v>
      </c>
      <c r="X15" s="61">
        <f t="shared" si="3"/>
        <v>0.25</v>
      </c>
      <c r="Y15" s="62">
        <f t="shared" si="4"/>
        <v>749.99999959499996</v>
      </c>
    </row>
    <row r="16" spans="1:25" ht="14.25" customHeight="1" x14ac:dyDescent="0.25">
      <c r="A16" s="7">
        <v>3030358</v>
      </c>
      <c r="B16" s="8" t="s">
        <v>41</v>
      </c>
      <c r="C16" s="9">
        <v>958</v>
      </c>
      <c r="D16" s="10">
        <v>700.00559999999996</v>
      </c>
      <c r="E16" s="34">
        <v>580.99999986</v>
      </c>
      <c r="F16" s="34">
        <v>999.99999946000003</v>
      </c>
      <c r="G16" s="11"/>
      <c r="H16" s="12" t="s">
        <v>18</v>
      </c>
      <c r="I16" s="12" t="s">
        <v>19</v>
      </c>
      <c r="J16" s="13" t="s">
        <v>20</v>
      </c>
      <c r="K16" s="14" t="s">
        <v>42</v>
      </c>
      <c r="L16" s="66">
        <v>5</v>
      </c>
      <c r="M16" s="44">
        <v>10</v>
      </c>
      <c r="N16" s="43" t="s">
        <v>18</v>
      </c>
      <c r="O16" s="38">
        <v>7.0000000000000007E-2</v>
      </c>
      <c r="P16" s="40">
        <f t="shared" si="0"/>
        <v>929.99999949779999</v>
      </c>
      <c r="Q16" s="29">
        <v>100</v>
      </c>
      <c r="R16" s="37">
        <v>0.15</v>
      </c>
      <c r="S16" s="41">
        <f t="shared" si="1"/>
        <v>849.99999954100008</v>
      </c>
      <c r="T16" s="31">
        <v>500</v>
      </c>
      <c r="U16" s="39">
        <v>0.2</v>
      </c>
      <c r="V16" s="42">
        <f t="shared" si="2"/>
        <v>799.99999956800002</v>
      </c>
      <c r="W16" s="60">
        <v>1000</v>
      </c>
      <c r="X16" s="61">
        <f t="shared" si="3"/>
        <v>0.25</v>
      </c>
      <c r="Y16" s="62">
        <f t="shared" si="4"/>
        <v>749.99999959499996</v>
      </c>
    </row>
    <row r="17" spans="1:25" ht="14.25" customHeight="1" x14ac:dyDescent="0.25">
      <c r="A17" s="7">
        <v>3030354</v>
      </c>
      <c r="B17" s="14" t="s">
        <v>43</v>
      </c>
      <c r="C17" s="9">
        <v>940</v>
      </c>
      <c r="D17" s="10">
        <v>700.00559999999996</v>
      </c>
      <c r="E17" s="34">
        <v>580.99999986</v>
      </c>
      <c r="F17" s="34">
        <v>999.99999946000003</v>
      </c>
      <c r="G17" s="11"/>
      <c r="H17" s="12" t="s">
        <v>18</v>
      </c>
      <c r="I17" s="12" t="s">
        <v>19</v>
      </c>
      <c r="J17" s="13" t="s">
        <v>20</v>
      </c>
      <c r="K17" s="14" t="s">
        <v>44</v>
      </c>
      <c r="L17" s="66">
        <v>5</v>
      </c>
      <c r="M17" s="44">
        <v>10</v>
      </c>
      <c r="N17" s="43" t="s">
        <v>18</v>
      </c>
      <c r="O17" s="38">
        <v>7.0000000000000007E-2</v>
      </c>
      <c r="P17" s="40">
        <f t="shared" si="0"/>
        <v>929.99999949779999</v>
      </c>
      <c r="Q17" s="29">
        <v>100</v>
      </c>
      <c r="R17" s="37">
        <v>0.15</v>
      </c>
      <c r="S17" s="41">
        <f t="shared" si="1"/>
        <v>849.99999954100008</v>
      </c>
      <c r="T17" s="31">
        <v>500</v>
      </c>
      <c r="U17" s="39">
        <v>0.2</v>
      </c>
      <c r="V17" s="42">
        <f t="shared" si="2"/>
        <v>799.99999956800002</v>
      </c>
      <c r="W17" s="60">
        <v>1000</v>
      </c>
      <c r="X17" s="61">
        <f t="shared" si="3"/>
        <v>0.25</v>
      </c>
      <c r="Y17" s="62">
        <f t="shared" si="4"/>
        <v>749.99999959499996</v>
      </c>
    </row>
    <row r="18" spans="1:25" ht="14.25" customHeight="1" x14ac:dyDescent="0.25">
      <c r="A18" s="7">
        <v>3030357</v>
      </c>
      <c r="B18" s="14" t="s">
        <v>45</v>
      </c>
      <c r="C18" s="9">
        <v>908</v>
      </c>
      <c r="D18" s="10">
        <v>700.00559999999996</v>
      </c>
      <c r="E18" s="34">
        <v>580.99999986</v>
      </c>
      <c r="F18" s="34">
        <v>1000</v>
      </c>
      <c r="G18" s="11"/>
      <c r="H18" s="12" t="s">
        <v>18</v>
      </c>
      <c r="I18" s="12" t="s">
        <v>19</v>
      </c>
      <c r="J18" s="13" t="s">
        <v>20</v>
      </c>
      <c r="K18" s="14" t="s">
        <v>46</v>
      </c>
      <c r="L18" s="66">
        <v>5</v>
      </c>
      <c r="M18" s="44">
        <v>10</v>
      </c>
      <c r="N18" s="43" t="s">
        <v>18</v>
      </c>
      <c r="O18" s="38">
        <v>7.0000000000000007E-2</v>
      </c>
      <c r="P18" s="40">
        <f t="shared" si="0"/>
        <v>930</v>
      </c>
      <c r="Q18" s="29">
        <v>100</v>
      </c>
      <c r="R18" s="37">
        <v>0.15</v>
      </c>
      <c r="S18" s="41">
        <f t="shared" si="1"/>
        <v>850</v>
      </c>
      <c r="T18" s="31">
        <v>500</v>
      </c>
      <c r="U18" s="39">
        <v>0.2</v>
      </c>
      <c r="V18" s="42">
        <f t="shared" si="2"/>
        <v>800</v>
      </c>
      <c r="W18" s="60">
        <v>1000</v>
      </c>
      <c r="X18" s="61">
        <f t="shared" si="3"/>
        <v>0.25</v>
      </c>
      <c r="Y18" s="62">
        <f t="shared" si="4"/>
        <v>750</v>
      </c>
    </row>
    <row r="19" spans="1:25" ht="14.25" customHeight="1" x14ac:dyDescent="0.25">
      <c r="A19" s="7">
        <v>3030359</v>
      </c>
      <c r="B19" s="14" t="s">
        <v>47</v>
      </c>
      <c r="C19" s="9">
        <v>920</v>
      </c>
      <c r="D19" s="10">
        <v>700.00559999999996</v>
      </c>
      <c r="E19" s="34">
        <v>580.99999986</v>
      </c>
      <c r="F19" s="34">
        <v>999.99999946000003</v>
      </c>
      <c r="G19" s="11"/>
      <c r="H19" s="12" t="s">
        <v>18</v>
      </c>
      <c r="I19" s="12" t="s">
        <v>19</v>
      </c>
      <c r="J19" s="13" t="s">
        <v>20</v>
      </c>
      <c r="K19" s="14" t="s">
        <v>48</v>
      </c>
      <c r="L19" s="66">
        <v>5</v>
      </c>
      <c r="M19" s="44">
        <v>10</v>
      </c>
      <c r="N19" s="43" t="s">
        <v>18</v>
      </c>
      <c r="O19" s="38">
        <v>7.0000000000000007E-2</v>
      </c>
      <c r="P19" s="40">
        <f t="shared" si="0"/>
        <v>929.99999949779999</v>
      </c>
      <c r="Q19" s="29">
        <v>100</v>
      </c>
      <c r="R19" s="37">
        <v>0.15</v>
      </c>
      <c r="S19" s="41">
        <f t="shared" si="1"/>
        <v>849.99999954100008</v>
      </c>
      <c r="T19" s="31">
        <v>500</v>
      </c>
      <c r="U19" s="39">
        <v>0.2</v>
      </c>
      <c r="V19" s="42">
        <f t="shared" si="2"/>
        <v>799.99999956800002</v>
      </c>
      <c r="W19" s="60">
        <v>1000</v>
      </c>
      <c r="X19" s="61">
        <f t="shared" si="3"/>
        <v>0.25</v>
      </c>
      <c r="Y19" s="62">
        <f t="shared" si="4"/>
        <v>749.99999959499996</v>
      </c>
    </row>
    <row r="20" spans="1:25" ht="14.25" customHeight="1" x14ac:dyDescent="0.25">
      <c r="A20" s="7">
        <v>3030332</v>
      </c>
      <c r="B20" s="14" t="s">
        <v>49</v>
      </c>
      <c r="C20" s="9">
        <v>8094</v>
      </c>
      <c r="D20" s="10">
        <v>749.99749999999995</v>
      </c>
      <c r="E20" s="34">
        <v>623.00000027999999</v>
      </c>
      <c r="F20" s="34">
        <v>1199.99999959</v>
      </c>
      <c r="G20" s="11"/>
      <c r="H20" s="12" t="s">
        <v>18</v>
      </c>
      <c r="I20" s="12" t="s">
        <v>19</v>
      </c>
      <c r="J20" s="13" t="s">
        <v>20</v>
      </c>
      <c r="K20" s="14" t="s">
        <v>50</v>
      </c>
      <c r="L20" s="66">
        <v>5</v>
      </c>
      <c r="M20" s="44">
        <v>10</v>
      </c>
      <c r="N20" s="43" t="s">
        <v>18</v>
      </c>
      <c r="O20" s="38">
        <v>7.0000000000000007E-2</v>
      </c>
      <c r="P20" s="40">
        <f t="shared" si="0"/>
        <v>1115.9999996187</v>
      </c>
      <c r="Q20" s="29">
        <v>100</v>
      </c>
      <c r="R20" s="37">
        <v>0.15</v>
      </c>
      <c r="S20" s="41">
        <f t="shared" si="1"/>
        <v>1019.9999996515</v>
      </c>
      <c r="T20" s="31">
        <v>500</v>
      </c>
      <c r="U20" s="39">
        <v>0.2</v>
      </c>
      <c r="V20" s="42">
        <f t="shared" si="2"/>
        <v>959.99999967200006</v>
      </c>
      <c r="W20" s="60">
        <v>1000</v>
      </c>
      <c r="X20" s="61">
        <f t="shared" si="3"/>
        <v>0.25</v>
      </c>
      <c r="Y20" s="62">
        <f t="shared" si="4"/>
        <v>899.99999969250007</v>
      </c>
    </row>
    <row r="21" spans="1:25" ht="14.25" customHeight="1" x14ac:dyDescent="0.25">
      <c r="A21" s="7">
        <v>3030321</v>
      </c>
      <c r="B21" s="16" t="s">
        <v>51</v>
      </c>
      <c r="C21" s="9">
        <v>11612</v>
      </c>
      <c r="D21" s="10">
        <v>749.99749999999995</v>
      </c>
      <c r="E21" s="34">
        <v>623.00000027999999</v>
      </c>
      <c r="F21" s="34">
        <v>1199.99999959</v>
      </c>
      <c r="G21" s="11"/>
      <c r="H21" s="12" t="s">
        <v>18</v>
      </c>
      <c r="I21" s="12" t="s">
        <v>19</v>
      </c>
      <c r="J21" s="13" t="s">
        <v>20</v>
      </c>
      <c r="K21" s="14" t="s">
        <v>52</v>
      </c>
      <c r="L21" s="66">
        <v>5</v>
      </c>
      <c r="M21" s="44">
        <v>10</v>
      </c>
      <c r="N21" s="43" t="s">
        <v>18</v>
      </c>
      <c r="O21" s="38">
        <v>7.0000000000000007E-2</v>
      </c>
      <c r="P21" s="40">
        <f t="shared" si="0"/>
        <v>1115.9999996187</v>
      </c>
      <c r="Q21" s="29">
        <v>100</v>
      </c>
      <c r="R21" s="37">
        <v>0.15</v>
      </c>
      <c r="S21" s="41">
        <f t="shared" si="1"/>
        <v>1019.9999996515</v>
      </c>
      <c r="T21" s="31">
        <v>500</v>
      </c>
      <c r="U21" s="39">
        <v>0.2</v>
      </c>
      <c r="V21" s="42">
        <f t="shared" si="2"/>
        <v>959.99999967200006</v>
      </c>
      <c r="W21" s="60">
        <v>1000</v>
      </c>
      <c r="X21" s="61">
        <f t="shared" si="3"/>
        <v>0.25</v>
      </c>
      <c r="Y21" s="62">
        <f t="shared" si="4"/>
        <v>899.99999969250007</v>
      </c>
    </row>
    <row r="22" spans="1:25" ht="14.25" customHeight="1" x14ac:dyDescent="0.25">
      <c r="A22" s="7">
        <v>3030319</v>
      </c>
      <c r="B22" s="14" t="s">
        <v>53</v>
      </c>
      <c r="C22" s="9">
        <v>1210</v>
      </c>
      <c r="D22" s="10">
        <v>749.99749999999995</v>
      </c>
      <c r="E22" s="34">
        <v>623.00000027999999</v>
      </c>
      <c r="F22" s="34">
        <v>1199.99999959</v>
      </c>
      <c r="G22" s="11"/>
      <c r="H22" s="12" t="s">
        <v>18</v>
      </c>
      <c r="I22" s="12" t="s">
        <v>19</v>
      </c>
      <c r="J22" s="13" t="s">
        <v>20</v>
      </c>
      <c r="K22" s="14" t="s">
        <v>54</v>
      </c>
      <c r="L22" s="66">
        <v>5</v>
      </c>
      <c r="M22" s="44">
        <v>10</v>
      </c>
      <c r="N22" s="43" t="s">
        <v>18</v>
      </c>
      <c r="O22" s="38">
        <v>7.0000000000000007E-2</v>
      </c>
      <c r="P22" s="40">
        <f t="shared" si="0"/>
        <v>1115.9999996187</v>
      </c>
      <c r="Q22" s="29">
        <v>100</v>
      </c>
      <c r="R22" s="37">
        <v>0.15</v>
      </c>
      <c r="S22" s="41">
        <f t="shared" si="1"/>
        <v>1019.9999996515</v>
      </c>
      <c r="T22" s="31">
        <v>500</v>
      </c>
      <c r="U22" s="39">
        <v>0.2</v>
      </c>
      <c r="V22" s="42">
        <f t="shared" si="2"/>
        <v>959.99999967200006</v>
      </c>
      <c r="W22" s="60">
        <v>1000</v>
      </c>
      <c r="X22" s="61">
        <f t="shared" si="3"/>
        <v>0.25</v>
      </c>
      <c r="Y22" s="62">
        <f t="shared" si="4"/>
        <v>899.99999969250007</v>
      </c>
    </row>
    <row r="23" spans="1:25" ht="14.25" customHeight="1" x14ac:dyDescent="0.25">
      <c r="A23" s="7">
        <v>3030317</v>
      </c>
      <c r="B23" s="14" t="s">
        <v>55</v>
      </c>
      <c r="C23" s="9">
        <v>11093</v>
      </c>
      <c r="D23" s="10">
        <v>749.99749999999995</v>
      </c>
      <c r="E23" s="34">
        <v>622.5009</v>
      </c>
      <c r="F23" s="34">
        <v>1199.9960000000001</v>
      </c>
      <c r="G23" s="11"/>
      <c r="H23" s="12" t="s">
        <v>18</v>
      </c>
      <c r="I23" s="12" t="s">
        <v>19</v>
      </c>
      <c r="J23" s="13" t="s">
        <v>20</v>
      </c>
      <c r="K23" s="14" t="s">
        <v>56</v>
      </c>
      <c r="L23" s="66">
        <v>5</v>
      </c>
      <c r="M23" s="44">
        <v>10</v>
      </c>
      <c r="N23" s="43" t="s">
        <v>18</v>
      </c>
      <c r="O23" s="38">
        <v>7.0000000000000007E-2</v>
      </c>
      <c r="P23" s="40">
        <f t="shared" si="0"/>
        <v>1115.9962800000001</v>
      </c>
      <c r="Q23" s="29">
        <v>100</v>
      </c>
      <c r="R23" s="37">
        <v>0.15</v>
      </c>
      <c r="S23" s="41">
        <f t="shared" si="1"/>
        <v>1019.9966000000001</v>
      </c>
      <c r="T23" s="31">
        <v>500</v>
      </c>
      <c r="U23" s="39">
        <v>0.2</v>
      </c>
      <c r="V23" s="42">
        <f t="shared" si="2"/>
        <v>959.99680000000012</v>
      </c>
      <c r="W23" s="60">
        <v>1000</v>
      </c>
      <c r="X23" s="61">
        <f t="shared" si="3"/>
        <v>0.25</v>
      </c>
      <c r="Y23" s="62">
        <f t="shared" si="4"/>
        <v>899.99700000000007</v>
      </c>
    </row>
    <row r="24" spans="1:25" ht="14.25" customHeight="1" x14ac:dyDescent="0.25">
      <c r="A24" s="7">
        <v>3030322</v>
      </c>
      <c r="B24" s="8" t="s">
        <v>57</v>
      </c>
      <c r="C24" s="9">
        <v>5236</v>
      </c>
      <c r="D24" s="10">
        <v>749.99749999999995</v>
      </c>
      <c r="E24" s="34">
        <v>623.00000027999999</v>
      </c>
      <c r="F24" s="34">
        <v>1199.99999959</v>
      </c>
      <c r="G24" s="11"/>
      <c r="H24" s="12" t="s">
        <v>18</v>
      </c>
      <c r="I24" s="12" t="s">
        <v>19</v>
      </c>
      <c r="J24" s="13" t="s">
        <v>20</v>
      </c>
      <c r="K24" s="14" t="s">
        <v>58</v>
      </c>
      <c r="L24" s="66">
        <v>5</v>
      </c>
      <c r="M24" s="44">
        <v>10</v>
      </c>
      <c r="N24" s="43" t="s">
        <v>18</v>
      </c>
      <c r="O24" s="38">
        <v>7.0000000000000007E-2</v>
      </c>
      <c r="P24" s="40">
        <f t="shared" si="0"/>
        <v>1115.9999996187</v>
      </c>
      <c r="Q24" s="29">
        <v>100</v>
      </c>
      <c r="R24" s="37">
        <v>0.15</v>
      </c>
      <c r="S24" s="41">
        <f t="shared" si="1"/>
        <v>1019.9999996515</v>
      </c>
      <c r="T24" s="31">
        <v>500</v>
      </c>
      <c r="U24" s="39">
        <v>0.2</v>
      </c>
      <c r="V24" s="42">
        <f t="shared" si="2"/>
        <v>959.99999967200006</v>
      </c>
      <c r="W24" s="60">
        <v>1000</v>
      </c>
      <c r="X24" s="61">
        <f t="shared" si="3"/>
        <v>0.25</v>
      </c>
      <c r="Y24" s="62">
        <f t="shared" si="4"/>
        <v>899.99999969250007</v>
      </c>
    </row>
    <row r="25" spans="1:25" ht="14.25" customHeight="1" x14ac:dyDescent="0.25">
      <c r="A25" s="7">
        <v>3030330</v>
      </c>
      <c r="B25" s="14" t="s">
        <v>59</v>
      </c>
      <c r="C25" s="9">
        <v>1845</v>
      </c>
      <c r="D25" s="10">
        <v>749.99749999999995</v>
      </c>
      <c r="E25" s="34">
        <v>623.00000027999999</v>
      </c>
      <c r="F25" s="34">
        <v>1199.99999959</v>
      </c>
      <c r="G25" s="11"/>
      <c r="H25" s="12" t="s">
        <v>18</v>
      </c>
      <c r="I25" s="12" t="s">
        <v>19</v>
      </c>
      <c r="J25" s="13" t="s">
        <v>20</v>
      </c>
      <c r="K25" s="14" t="s">
        <v>60</v>
      </c>
      <c r="L25" s="66">
        <v>5</v>
      </c>
      <c r="M25" s="44">
        <v>10</v>
      </c>
      <c r="N25" s="43" t="s">
        <v>18</v>
      </c>
      <c r="O25" s="38">
        <v>7.0000000000000007E-2</v>
      </c>
      <c r="P25" s="40">
        <f t="shared" si="0"/>
        <v>1115.9999996187</v>
      </c>
      <c r="Q25" s="29">
        <v>100</v>
      </c>
      <c r="R25" s="37">
        <v>0.15</v>
      </c>
      <c r="S25" s="41">
        <f t="shared" si="1"/>
        <v>1019.9999996515</v>
      </c>
      <c r="T25" s="31">
        <v>500</v>
      </c>
      <c r="U25" s="39">
        <v>0.2</v>
      </c>
      <c r="V25" s="42">
        <f t="shared" si="2"/>
        <v>959.99999967200006</v>
      </c>
      <c r="W25" s="60">
        <v>1000</v>
      </c>
      <c r="X25" s="61">
        <f t="shared" si="3"/>
        <v>0.25</v>
      </c>
      <c r="Y25" s="62">
        <f t="shared" si="4"/>
        <v>899.99999969250007</v>
      </c>
    </row>
    <row r="26" spans="1:25" ht="14.25" customHeight="1" x14ac:dyDescent="0.25">
      <c r="A26" s="7">
        <v>3030318</v>
      </c>
      <c r="B26" s="14" t="s">
        <v>61</v>
      </c>
      <c r="C26" s="9">
        <v>474</v>
      </c>
      <c r="D26" s="10">
        <v>1000.0046</v>
      </c>
      <c r="E26" s="34">
        <v>830.00000048000004</v>
      </c>
      <c r="F26" s="34">
        <v>1199.99999959</v>
      </c>
      <c r="G26" s="11"/>
      <c r="H26" s="12" t="s">
        <v>18</v>
      </c>
      <c r="I26" s="12" t="s">
        <v>19</v>
      </c>
      <c r="J26" s="13" t="s">
        <v>20</v>
      </c>
      <c r="K26" s="14" t="s">
        <v>62</v>
      </c>
      <c r="L26" s="66">
        <v>5</v>
      </c>
      <c r="M26" s="44">
        <v>10</v>
      </c>
      <c r="N26" s="43" t="s">
        <v>18</v>
      </c>
      <c r="O26" s="38">
        <v>7.0000000000000007E-2</v>
      </c>
      <c r="P26" s="40">
        <f t="shared" si="0"/>
        <v>1115.9999996187</v>
      </c>
      <c r="Q26" s="29">
        <v>100</v>
      </c>
      <c r="R26" s="37">
        <v>0.15</v>
      </c>
      <c r="S26" s="41">
        <f t="shared" si="1"/>
        <v>1019.9999996515</v>
      </c>
      <c r="T26" s="31">
        <v>500</v>
      </c>
      <c r="U26" s="39">
        <v>0.2</v>
      </c>
      <c r="V26" s="42">
        <f t="shared" si="2"/>
        <v>959.99999967200006</v>
      </c>
      <c r="W26" s="60">
        <v>1000</v>
      </c>
      <c r="X26" s="61">
        <f t="shared" si="3"/>
        <v>0.25</v>
      </c>
      <c r="Y26" s="62">
        <f t="shared" si="4"/>
        <v>899.99999969250007</v>
      </c>
    </row>
    <row r="27" spans="1:25" ht="14.25" customHeight="1" x14ac:dyDescent="0.25">
      <c r="A27" s="7">
        <v>3030320</v>
      </c>
      <c r="B27" s="14" t="s">
        <v>63</v>
      </c>
      <c r="C27" s="9">
        <v>4430</v>
      </c>
      <c r="D27" s="10">
        <v>749.99749999999995</v>
      </c>
      <c r="E27" s="34">
        <v>623.00000027999999</v>
      </c>
      <c r="F27" s="34">
        <v>1199.99999959</v>
      </c>
      <c r="G27" s="11"/>
      <c r="H27" s="12" t="s">
        <v>18</v>
      </c>
      <c r="I27" s="12" t="s">
        <v>19</v>
      </c>
      <c r="J27" s="13" t="s">
        <v>20</v>
      </c>
      <c r="K27" s="14" t="s">
        <v>64</v>
      </c>
      <c r="L27" s="66">
        <v>5</v>
      </c>
      <c r="M27" s="44">
        <v>10</v>
      </c>
      <c r="N27" s="43" t="s">
        <v>18</v>
      </c>
      <c r="O27" s="38">
        <v>7.0000000000000007E-2</v>
      </c>
      <c r="P27" s="40">
        <f t="shared" si="0"/>
        <v>1115.9999996187</v>
      </c>
      <c r="Q27" s="29">
        <v>100</v>
      </c>
      <c r="R27" s="37">
        <v>0.15</v>
      </c>
      <c r="S27" s="41">
        <f t="shared" si="1"/>
        <v>1019.9999996515</v>
      </c>
      <c r="T27" s="31">
        <v>500</v>
      </c>
      <c r="U27" s="39">
        <v>0.2</v>
      </c>
      <c r="V27" s="42">
        <f t="shared" si="2"/>
        <v>959.99999967200006</v>
      </c>
      <c r="W27" s="60">
        <v>1000</v>
      </c>
      <c r="X27" s="61">
        <f t="shared" si="3"/>
        <v>0.25</v>
      </c>
      <c r="Y27" s="62">
        <f t="shared" si="4"/>
        <v>899.99999969250007</v>
      </c>
    </row>
    <row r="28" spans="1:25" ht="14.25" customHeight="1" x14ac:dyDescent="0.25">
      <c r="A28" s="7">
        <v>3030331</v>
      </c>
      <c r="B28" s="14" t="s">
        <v>65</v>
      </c>
      <c r="C28" s="9">
        <v>4890</v>
      </c>
      <c r="D28" s="10">
        <v>749.99749999999995</v>
      </c>
      <c r="E28" s="34">
        <v>623.00000027999999</v>
      </c>
      <c r="F28" s="34">
        <v>1199.99999959</v>
      </c>
      <c r="G28" s="11"/>
      <c r="H28" s="12" t="s">
        <v>18</v>
      </c>
      <c r="I28" s="12" t="s">
        <v>19</v>
      </c>
      <c r="J28" s="13" t="s">
        <v>20</v>
      </c>
      <c r="K28" s="14" t="s">
        <v>66</v>
      </c>
      <c r="L28" s="66">
        <v>5</v>
      </c>
      <c r="M28" s="44">
        <v>10</v>
      </c>
      <c r="N28" s="43" t="s">
        <v>18</v>
      </c>
      <c r="O28" s="38">
        <v>7.0000000000000007E-2</v>
      </c>
      <c r="P28" s="40">
        <f t="shared" si="0"/>
        <v>1115.9999996187</v>
      </c>
      <c r="Q28" s="29">
        <v>100</v>
      </c>
      <c r="R28" s="37">
        <v>0.15</v>
      </c>
      <c r="S28" s="41">
        <f t="shared" si="1"/>
        <v>1019.9999996515</v>
      </c>
      <c r="T28" s="31">
        <v>500</v>
      </c>
      <c r="U28" s="39">
        <v>0.2</v>
      </c>
      <c r="V28" s="42">
        <f t="shared" si="2"/>
        <v>959.99999967200006</v>
      </c>
      <c r="W28" s="60">
        <v>1000</v>
      </c>
      <c r="X28" s="61">
        <f t="shared" si="3"/>
        <v>0.25</v>
      </c>
      <c r="Y28" s="62">
        <f t="shared" si="4"/>
        <v>899.99999969250007</v>
      </c>
    </row>
    <row r="29" spans="1:25" ht="14.25" customHeight="1" x14ac:dyDescent="0.25">
      <c r="A29" s="7">
        <v>3030327</v>
      </c>
      <c r="B29" s="14" t="s">
        <v>67</v>
      </c>
      <c r="C29" s="9">
        <v>4910</v>
      </c>
      <c r="D29" s="10">
        <v>749.99749999999995</v>
      </c>
      <c r="E29" s="34">
        <v>637.49965999999995</v>
      </c>
      <c r="F29" s="34">
        <v>1199.9995699999999</v>
      </c>
      <c r="G29" s="11">
        <v>623.55999999999995</v>
      </c>
      <c r="H29" s="12" t="s">
        <v>18</v>
      </c>
      <c r="I29" s="12" t="s">
        <v>19</v>
      </c>
      <c r="J29" s="13" t="s">
        <v>20</v>
      </c>
      <c r="K29" s="14" t="s">
        <v>68</v>
      </c>
      <c r="L29" s="66">
        <v>5</v>
      </c>
      <c r="M29" s="44">
        <v>10</v>
      </c>
      <c r="N29" s="43" t="s">
        <v>18</v>
      </c>
      <c r="O29" s="38">
        <v>7.0000000000000007E-2</v>
      </c>
      <c r="P29" s="40">
        <f t="shared" si="0"/>
        <v>1115.9996001</v>
      </c>
      <c r="Q29" s="29">
        <v>100</v>
      </c>
      <c r="R29" s="37">
        <v>0.15</v>
      </c>
      <c r="S29" s="41">
        <f t="shared" si="1"/>
        <v>1019.9996345</v>
      </c>
      <c r="T29" s="31">
        <v>500</v>
      </c>
      <c r="U29" s="39">
        <v>0.2</v>
      </c>
      <c r="V29" s="42">
        <f t="shared" si="2"/>
        <v>959.99965599999996</v>
      </c>
      <c r="W29" s="60">
        <v>1000</v>
      </c>
      <c r="X29" s="61">
        <f t="shared" si="3"/>
        <v>0.25</v>
      </c>
      <c r="Y29" s="62">
        <f t="shared" si="4"/>
        <v>899.99967749999996</v>
      </c>
    </row>
    <row r="30" spans="1:25" ht="14.25" customHeight="1" x14ac:dyDescent="0.25">
      <c r="A30" s="7">
        <v>3030342</v>
      </c>
      <c r="B30" s="14" t="s">
        <v>69</v>
      </c>
      <c r="C30" s="9">
        <v>17360</v>
      </c>
      <c r="D30" s="10">
        <v>749.99749999999995</v>
      </c>
      <c r="E30" s="34">
        <v>623.00000027999999</v>
      </c>
      <c r="F30" s="34">
        <v>1199.99999959</v>
      </c>
      <c r="G30" s="11"/>
      <c r="H30" s="12" t="s">
        <v>18</v>
      </c>
      <c r="I30" s="12" t="s">
        <v>19</v>
      </c>
      <c r="J30" s="13" t="s">
        <v>20</v>
      </c>
      <c r="K30" s="14" t="s">
        <v>70</v>
      </c>
      <c r="L30" s="66">
        <v>5</v>
      </c>
      <c r="M30" s="44">
        <v>10</v>
      </c>
      <c r="N30" s="43" t="s">
        <v>18</v>
      </c>
      <c r="O30" s="38">
        <v>7.0000000000000007E-2</v>
      </c>
      <c r="P30" s="40">
        <f t="shared" si="0"/>
        <v>1115.9999996187</v>
      </c>
      <c r="Q30" s="29">
        <v>100</v>
      </c>
      <c r="R30" s="37">
        <v>0.15</v>
      </c>
      <c r="S30" s="41">
        <f t="shared" si="1"/>
        <v>1019.9999996515</v>
      </c>
      <c r="T30" s="31">
        <v>500</v>
      </c>
      <c r="U30" s="39">
        <v>0.2</v>
      </c>
      <c r="V30" s="42">
        <f t="shared" si="2"/>
        <v>959.99999967200006</v>
      </c>
      <c r="W30" s="60">
        <v>1000</v>
      </c>
      <c r="X30" s="61">
        <f t="shared" si="3"/>
        <v>0.25</v>
      </c>
      <c r="Y30" s="62">
        <f t="shared" si="4"/>
        <v>899.99999969250007</v>
      </c>
    </row>
    <row r="31" spans="1:25" ht="14.25" customHeight="1" x14ac:dyDescent="0.25">
      <c r="A31" s="7">
        <v>3030325</v>
      </c>
      <c r="B31" s="14" t="s">
        <v>71</v>
      </c>
      <c r="C31" s="9">
        <v>14949</v>
      </c>
      <c r="D31" s="10">
        <v>749.99749999999995</v>
      </c>
      <c r="E31" s="34">
        <v>623.00000027999999</v>
      </c>
      <c r="F31" s="34">
        <v>1199.99999959</v>
      </c>
      <c r="G31" s="11"/>
      <c r="H31" s="12" t="s">
        <v>18</v>
      </c>
      <c r="I31" s="12" t="s">
        <v>19</v>
      </c>
      <c r="J31" s="13" t="s">
        <v>20</v>
      </c>
      <c r="K31" s="14" t="s">
        <v>72</v>
      </c>
      <c r="L31" s="66">
        <v>5</v>
      </c>
      <c r="M31" s="44">
        <v>10</v>
      </c>
      <c r="N31" s="43" t="s">
        <v>18</v>
      </c>
      <c r="O31" s="38">
        <v>7.0000000000000007E-2</v>
      </c>
      <c r="P31" s="40">
        <f t="shared" si="0"/>
        <v>1115.9999996187</v>
      </c>
      <c r="Q31" s="29">
        <v>100</v>
      </c>
      <c r="R31" s="37">
        <v>0.15</v>
      </c>
      <c r="S31" s="41">
        <f t="shared" si="1"/>
        <v>1019.9999996515</v>
      </c>
      <c r="T31" s="31">
        <v>500</v>
      </c>
      <c r="U31" s="39">
        <v>0.2</v>
      </c>
      <c r="V31" s="42">
        <f t="shared" si="2"/>
        <v>959.99999967200006</v>
      </c>
      <c r="W31" s="60">
        <v>1000</v>
      </c>
      <c r="X31" s="61">
        <f t="shared" si="3"/>
        <v>0.25</v>
      </c>
      <c r="Y31" s="62">
        <f t="shared" si="4"/>
        <v>899.99999969250007</v>
      </c>
    </row>
    <row r="32" spans="1:25" ht="14.25" customHeight="1" x14ac:dyDescent="0.25">
      <c r="A32" s="7">
        <v>3030323</v>
      </c>
      <c r="B32" s="14" t="s">
        <v>73</v>
      </c>
      <c r="C32" s="9">
        <v>137</v>
      </c>
      <c r="D32" s="10">
        <v>749.99749999999995</v>
      </c>
      <c r="E32" s="34">
        <v>623.00000027999999</v>
      </c>
      <c r="F32" s="34">
        <v>1199.99999959</v>
      </c>
      <c r="G32" s="11"/>
      <c r="H32" s="12" t="s">
        <v>18</v>
      </c>
      <c r="I32" s="12" t="s">
        <v>19</v>
      </c>
      <c r="J32" s="13" t="s">
        <v>20</v>
      </c>
      <c r="K32" s="14" t="s">
        <v>74</v>
      </c>
      <c r="L32" s="66">
        <v>5</v>
      </c>
      <c r="M32" s="44">
        <v>10</v>
      </c>
      <c r="N32" s="43" t="s">
        <v>18</v>
      </c>
      <c r="O32" s="38">
        <v>7.0000000000000007E-2</v>
      </c>
      <c r="P32" s="40">
        <f t="shared" si="0"/>
        <v>1115.9999996187</v>
      </c>
      <c r="Q32" s="29">
        <v>100</v>
      </c>
      <c r="R32" s="37">
        <v>0.15</v>
      </c>
      <c r="S32" s="41">
        <f t="shared" si="1"/>
        <v>1019.9999996515</v>
      </c>
      <c r="T32" s="31">
        <v>500</v>
      </c>
      <c r="U32" s="39">
        <v>0.2</v>
      </c>
      <c r="V32" s="42">
        <f t="shared" si="2"/>
        <v>959.99999967200006</v>
      </c>
      <c r="W32" s="60">
        <v>1000</v>
      </c>
      <c r="X32" s="61">
        <f t="shared" si="3"/>
        <v>0.25</v>
      </c>
      <c r="Y32" s="62">
        <f t="shared" si="4"/>
        <v>899.99999969250007</v>
      </c>
    </row>
    <row r="33" spans="1:25" ht="14.25" customHeight="1" x14ac:dyDescent="0.25">
      <c r="A33" s="7">
        <v>3030328</v>
      </c>
      <c r="B33" s="14" t="s">
        <v>75</v>
      </c>
      <c r="C33" s="9">
        <v>2658</v>
      </c>
      <c r="D33" s="10">
        <v>749.99749999999995</v>
      </c>
      <c r="E33" s="34">
        <v>623.00000027999999</v>
      </c>
      <c r="F33" s="34">
        <v>1199.99999959</v>
      </c>
      <c r="G33" s="11"/>
      <c r="H33" s="12" t="s">
        <v>18</v>
      </c>
      <c r="I33" s="12" t="s">
        <v>19</v>
      </c>
      <c r="J33" s="13" t="s">
        <v>20</v>
      </c>
      <c r="K33" s="14" t="s">
        <v>76</v>
      </c>
      <c r="L33" s="66">
        <v>5</v>
      </c>
      <c r="M33" s="44">
        <v>10</v>
      </c>
      <c r="N33" s="43" t="s">
        <v>18</v>
      </c>
      <c r="O33" s="38">
        <v>7.0000000000000007E-2</v>
      </c>
      <c r="P33" s="40">
        <f t="shared" si="0"/>
        <v>1115.9999996187</v>
      </c>
      <c r="Q33" s="29">
        <v>100</v>
      </c>
      <c r="R33" s="37">
        <v>0.15</v>
      </c>
      <c r="S33" s="41">
        <f t="shared" si="1"/>
        <v>1019.9999996515</v>
      </c>
      <c r="T33" s="31">
        <v>500</v>
      </c>
      <c r="U33" s="39">
        <v>0.2</v>
      </c>
      <c r="V33" s="42">
        <f t="shared" si="2"/>
        <v>959.99999967200006</v>
      </c>
      <c r="W33" s="60">
        <v>1000</v>
      </c>
      <c r="X33" s="61">
        <f t="shared" si="3"/>
        <v>0.25</v>
      </c>
      <c r="Y33" s="62">
        <f t="shared" si="4"/>
        <v>899.99999969250007</v>
      </c>
    </row>
    <row r="34" spans="1:25" ht="14.25" customHeight="1" x14ac:dyDescent="0.25">
      <c r="A34" s="7">
        <v>3030329</v>
      </c>
      <c r="B34" s="14" t="s">
        <v>77</v>
      </c>
      <c r="C34" s="9">
        <v>989</v>
      </c>
      <c r="D34" s="10">
        <v>749.99749999999995</v>
      </c>
      <c r="E34" s="34">
        <v>623.00000027999999</v>
      </c>
      <c r="F34" s="34">
        <v>1199.99999959</v>
      </c>
      <c r="G34" s="11"/>
      <c r="H34" s="12" t="s">
        <v>18</v>
      </c>
      <c r="I34" s="12" t="s">
        <v>19</v>
      </c>
      <c r="J34" s="13" t="s">
        <v>20</v>
      </c>
      <c r="K34" s="14" t="s">
        <v>78</v>
      </c>
      <c r="L34" s="66">
        <v>5</v>
      </c>
      <c r="M34" s="44">
        <v>10</v>
      </c>
      <c r="N34" s="43" t="s">
        <v>18</v>
      </c>
      <c r="O34" s="38">
        <v>7.0000000000000007E-2</v>
      </c>
      <c r="P34" s="40">
        <f t="shared" si="0"/>
        <v>1115.9999996187</v>
      </c>
      <c r="Q34" s="29">
        <v>100</v>
      </c>
      <c r="R34" s="37">
        <v>0.15</v>
      </c>
      <c r="S34" s="41">
        <f t="shared" si="1"/>
        <v>1019.9999996515</v>
      </c>
      <c r="T34" s="31">
        <v>500</v>
      </c>
      <c r="U34" s="39">
        <v>0.2</v>
      </c>
      <c r="V34" s="42">
        <f t="shared" si="2"/>
        <v>959.99999967200006</v>
      </c>
      <c r="W34" s="60">
        <v>1000</v>
      </c>
      <c r="X34" s="61">
        <f t="shared" si="3"/>
        <v>0.25</v>
      </c>
      <c r="Y34" s="62">
        <f t="shared" si="4"/>
        <v>899.99999969250007</v>
      </c>
    </row>
    <row r="35" spans="1:25" ht="14.25" customHeight="1" x14ac:dyDescent="0.25">
      <c r="A35" s="7">
        <v>3030324</v>
      </c>
      <c r="B35" s="14" t="s">
        <v>79</v>
      </c>
      <c r="C35" s="9">
        <v>8550</v>
      </c>
      <c r="D35" s="10">
        <v>1000.0046</v>
      </c>
      <c r="E35" s="34">
        <v>830.00000048000004</v>
      </c>
      <c r="F35" s="34">
        <v>1199.99999959</v>
      </c>
      <c r="G35" s="11"/>
      <c r="H35" s="12" t="s">
        <v>80</v>
      </c>
      <c r="I35" s="12" t="s">
        <v>80</v>
      </c>
      <c r="J35" s="13" t="s">
        <v>20</v>
      </c>
      <c r="K35" s="14" t="s">
        <v>81</v>
      </c>
      <c r="L35" s="66">
        <v>5</v>
      </c>
      <c r="M35" s="44">
        <v>10</v>
      </c>
      <c r="N35" s="43" t="s">
        <v>18</v>
      </c>
      <c r="O35" s="38">
        <v>7.0000000000000007E-2</v>
      </c>
      <c r="P35" s="40">
        <f t="shared" si="0"/>
        <v>1115.9999996187</v>
      </c>
      <c r="Q35" s="29">
        <v>100</v>
      </c>
      <c r="R35" s="37">
        <v>0.15</v>
      </c>
      <c r="S35" s="41">
        <f t="shared" si="1"/>
        <v>1019.9999996515</v>
      </c>
      <c r="T35" s="31">
        <v>500</v>
      </c>
      <c r="U35" s="39">
        <v>0.2</v>
      </c>
      <c r="V35" s="42">
        <f t="shared" si="2"/>
        <v>959.99999967200006</v>
      </c>
      <c r="W35" s="60">
        <v>1000</v>
      </c>
      <c r="X35" s="61">
        <f t="shared" si="3"/>
        <v>0.25</v>
      </c>
      <c r="Y35" s="62">
        <f t="shared" si="4"/>
        <v>899.99999969250007</v>
      </c>
    </row>
    <row r="36" spans="1:25" ht="14.25" customHeight="1" x14ac:dyDescent="0.25">
      <c r="A36" s="7">
        <v>3030326</v>
      </c>
      <c r="B36" s="14" t="s">
        <v>82</v>
      </c>
      <c r="C36" s="9">
        <v>3659</v>
      </c>
      <c r="D36" s="10">
        <v>749.99749999999995</v>
      </c>
      <c r="E36" s="34">
        <v>623.00000027999999</v>
      </c>
      <c r="F36" s="34">
        <v>1199.99999959</v>
      </c>
      <c r="G36" s="11"/>
      <c r="H36" s="12" t="s">
        <v>80</v>
      </c>
      <c r="I36" s="12" t="s">
        <v>80</v>
      </c>
      <c r="J36" s="13" t="s">
        <v>20</v>
      </c>
      <c r="K36" s="14" t="s">
        <v>83</v>
      </c>
      <c r="L36" s="66">
        <v>5</v>
      </c>
      <c r="M36" s="44">
        <v>10</v>
      </c>
      <c r="N36" s="43" t="s">
        <v>18</v>
      </c>
      <c r="O36" s="38">
        <v>7.0000000000000007E-2</v>
      </c>
      <c r="P36" s="40">
        <f t="shared" si="0"/>
        <v>1115.9999996187</v>
      </c>
      <c r="Q36" s="29">
        <v>100</v>
      </c>
      <c r="R36" s="37">
        <v>0.15</v>
      </c>
      <c r="S36" s="41">
        <f t="shared" si="1"/>
        <v>1019.9999996515</v>
      </c>
      <c r="T36" s="31">
        <v>500</v>
      </c>
      <c r="U36" s="39">
        <v>0.2</v>
      </c>
      <c r="V36" s="42">
        <f t="shared" si="2"/>
        <v>959.99999967200006</v>
      </c>
      <c r="W36" s="60">
        <v>1000</v>
      </c>
      <c r="X36" s="61">
        <f t="shared" si="3"/>
        <v>0.25</v>
      </c>
      <c r="Y36" s="62">
        <f t="shared" si="4"/>
        <v>899.99999969250007</v>
      </c>
    </row>
    <row r="37" spans="1:25" ht="14.25" customHeight="1" x14ac:dyDescent="0.25">
      <c r="A37" s="7">
        <v>3030379</v>
      </c>
      <c r="B37" s="14" t="s">
        <v>84</v>
      </c>
      <c r="C37" s="9">
        <v>1899</v>
      </c>
      <c r="D37" s="10">
        <v>1900.0016000000001</v>
      </c>
      <c r="E37" s="34">
        <v>1672.0000002300001</v>
      </c>
      <c r="F37" s="34">
        <v>2200.0005999999998</v>
      </c>
      <c r="G37" s="11"/>
      <c r="H37" s="12" t="s">
        <v>80</v>
      </c>
      <c r="I37" s="12" t="s">
        <v>80</v>
      </c>
      <c r="J37" s="13" t="s">
        <v>20</v>
      </c>
      <c r="K37" s="14" t="s">
        <v>85</v>
      </c>
      <c r="L37" s="66">
        <v>5</v>
      </c>
      <c r="M37" s="44">
        <v>5</v>
      </c>
      <c r="N37" s="43" t="s">
        <v>18</v>
      </c>
      <c r="O37" s="38">
        <v>7.0000000000000007E-2</v>
      </c>
      <c r="P37" s="40">
        <f t="shared" si="0"/>
        <v>2046.0005579999997</v>
      </c>
      <c r="Q37" s="29">
        <v>100</v>
      </c>
      <c r="R37" s="37">
        <v>0.15</v>
      </c>
      <c r="S37" s="41">
        <f t="shared" si="1"/>
        <v>1870.0005099999998</v>
      </c>
      <c r="T37" s="31">
        <v>500</v>
      </c>
      <c r="U37" s="39">
        <v>0.2</v>
      </c>
      <c r="V37" s="42">
        <f t="shared" si="2"/>
        <v>1760.0004799999999</v>
      </c>
      <c r="W37" s="60">
        <v>1000</v>
      </c>
      <c r="X37" s="61">
        <f t="shared" si="3"/>
        <v>0.25</v>
      </c>
      <c r="Y37" s="62">
        <f t="shared" si="4"/>
        <v>1650.00045</v>
      </c>
    </row>
    <row r="38" spans="1:25" ht="14.25" customHeight="1" x14ac:dyDescent="0.25">
      <c r="A38" s="7">
        <v>3030361</v>
      </c>
      <c r="B38" s="14" t="s">
        <v>86</v>
      </c>
      <c r="C38" s="9">
        <v>8891</v>
      </c>
      <c r="D38" s="10">
        <v>1499.9949999999999</v>
      </c>
      <c r="E38" s="34">
        <v>1244.99999953</v>
      </c>
      <c r="F38" s="34">
        <v>1599.99999985</v>
      </c>
      <c r="G38" s="11">
        <v>1090.04</v>
      </c>
      <c r="H38" s="12" t="s">
        <v>80</v>
      </c>
      <c r="I38" s="12" t="s">
        <v>80</v>
      </c>
      <c r="J38" s="13" t="s">
        <v>20</v>
      </c>
      <c r="K38" s="14" t="s">
        <v>87</v>
      </c>
      <c r="L38" s="66">
        <v>5</v>
      </c>
      <c r="M38" s="44">
        <v>5</v>
      </c>
      <c r="N38" s="43" t="s">
        <v>18</v>
      </c>
      <c r="O38" s="38">
        <v>7.0000000000000007E-2</v>
      </c>
      <c r="P38" s="40">
        <f t="shared" si="0"/>
        <v>1487.9999998604999</v>
      </c>
      <c r="Q38" s="29">
        <v>100</v>
      </c>
      <c r="R38" s="37">
        <v>0.15</v>
      </c>
      <c r="S38" s="41">
        <f t="shared" si="1"/>
        <v>1359.9999998725</v>
      </c>
      <c r="T38" s="31">
        <v>500</v>
      </c>
      <c r="U38" s="39">
        <v>0.2</v>
      </c>
      <c r="V38" s="42">
        <f t="shared" si="2"/>
        <v>1279.9999998799999</v>
      </c>
      <c r="W38" s="60">
        <v>1000</v>
      </c>
      <c r="X38" s="61">
        <f t="shared" si="3"/>
        <v>0.25</v>
      </c>
      <c r="Y38" s="62">
        <f t="shared" si="4"/>
        <v>1199.9999998875001</v>
      </c>
    </row>
    <row r="39" spans="1:25" ht="14.25" customHeight="1" x14ac:dyDescent="0.25">
      <c r="A39" s="7">
        <v>3030363</v>
      </c>
      <c r="B39" s="14" t="s">
        <v>88</v>
      </c>
      <c r="C39" s="9">
        <v>108</v>
      </c>
      <c r="D39" s="10">
        <v>1499.9949999999999</v>
      </c>
      <c r="E39" s="34">
        <v>1244.99999953</v>
      </c>
      <c r="F39" s="34">
        <v>1599.99999985</v>
      </c>
      <c r="G39" s="11">
        <v>1090.04</v>
      </c>
      <c r="H39" s="12" t="s">
        <v>80</v>
      </c>
      <c r="I39" s="12" t="s">
        <v>80</v>
      </c>
      <c r="J39" s="13" t="s">
        <v>20</v>
      </c>
      <c r="K39" s="14" t="s">
        <v>89</v>
      </c>
      <c r="L39" s="66">
        <v>5</v>
      </c>
      <c r="M39" s="44">
        <v>5</v>
      </c>
      <c r="N39" s="43" t="s">
        <v>18</v>
      </c>
      <c r="O39" s="38">
        <v>7.0000000000000007E-2</v>
      </c>
      <c r="P39" s="40">
        <f t="shared" si="0"/>
        <v>1487.9999998604999</v>
      </c>
      <c r="Q39" s="29">
        <v>100</v>
      </c>
      <c r="R39" s="37">
        <v>0.15</v>
      </c>
      <c r="S39" s="41">
        <f t="shared" si="1"/>
        <v>1359.9999998725</v>
      </c>
      <c r="T39" s="31">
        <v>500</v>
      </c>
      <c r="U39" s="39">
        <v>0.2</v>
      </c>
      <c r="V39" s="42">
        <f t="shared" si="2"/>
        <v>1279.9999998799999</v>
      </c>
      <c r="W39" s="60">
        <v>1000</v>
      </c>
      <c r="X39" s="61">
        <f t="shared" si="3"/>
        <v>0.25</v>
      </c>
      <c r="Y39" s="62">
        <f t="shared" si="4"/>
        <v>1199.9999998875001</v>
      </c>
    </row>
    <row r="40" spans="1:25" ht="14.25" customHeight="1" x14ac:dyDescent="0.25">
      <c r="A40" s="7">
        <v>3030364</v>
      </c>
      <c r="B40" s="14" t="s">
        <v>90</v>
      </c>
      <c r="C40" s="9">
        <v>2396</v>
      </c>
      <c r="D40" s="10">
        <v>1499.9949999999999</v>
      </c>
      <c r="E40" s="34">
        <v>1244.99999953</v>
      </c>
      <c r="F40" s="34">
        <v>1599.99999985</v>
      </c>
      <c r="G40" s="11">
        <v>1090.04</v>
      </c>
      <c r="H40" s="12" t="s">
        <v>80</v>
      </c>
      <c r="I40" s="12" t="s">
        <v>80</v>
      </c>
      <c r="J40" s="13" t="s">
        <v>20</v>
      </c>
      <c r="K40" s="14" t="s">
        <v>91</v>
      </c>
      <c r="L40" s="66">
        <v>5</v>
      </c>
      <c r="M40" s="44">
        <v>5</v>
      </c>
      <c r="N40" s="43" t="s">
        <v>18</v>
      </c>
      <c r="O40" s="38">
        <v>7.0000000000000007E-2</v>
      </c>
      <c r="P40" s="40">
        <f t="shared" si="0"/>
        <v>1487.9999998604999</v>
      </c>
      <c r="Q40" s="29">
        <v>100</v>
      </c>
      <c r="R40" s="37">
        <v>0.15</v>
      </c>
      <c r="S40" s="41">
        <f t="shared" si="1"/>
        <v>1359.9999998725</v>
      </c>
      <c r="T40" s="31">
        <v>500</v>
      </c>
      <c r="U40" s="39">
        <v>0.2</v>
      </c>
      <c r="V40" s="42">
        <f t="shared" si="2"/>
        <v>1279.9999998799999</v>
      </c>
      <c r="W40" s="60">
        <v>1000</v>
      </c>
      <c r="X40" s="61">
        <f t="shared" si="3"/>
        <v>0.25</v>
      </c>
      <c r="Y40" s="62">
        <f t="shared" si="4"/>
        <v>1199.9999998875001</v>
      </c>
    </row>
    <row r="41" spans="1:25" ht="14.25" customHeight="1" x14ac:dyDescent="0.25">
      <c r="A41" s="7">
        <v>3030360</v>
      </c>
      <c r="B41" s="14" t="s">
        <v>92</v>
      </c>
      <c r="C41" s="9">
        <v>3087</v>
      </c>
      <c r="D41" s="10">
        <v>1499.9949999999999</v>
      </c>
      <c r="E41" s="34">
        <v>1244.99999953</v>
      </c>
      <c r="F41" s="34">
        <v>1599.99999985</v>
      </c>
      <c r="G41" s="11">
        <v>1090.04</v>
      </c>
      <c r="H41" s="12" t="s">
        <v>80</v>
      </c>
      <c r="I41" s="12" t="s">
        <v>80</v>
      </c>
      <c r="J41" s="13" t="s">
        <v>20</v>
      </c>
      <c r="K41" s="14" t="s">
        <v>93</v>
      </c>
      <c r="L41" s="66">
        <v>5</v>
      </c>
      <c r="M41" s="44">
        <v>5</v>
      </c>
      <c r="N41" s="43" t="s">
        <v>18</v>
      </c>
      <c r="O41" s="38">
        <v>7.0000000000000007E-2</v>
      </c>
      <c r="P41" s="40">
        <f t="shared" si="0"/>
        <v>1487.9999998604999</v>
      </c>
      <c r="Q41" s="29">
        <v>100</v>
      </c>
      <c r="R41" s="37">
        <v>0.15</v>
      </c>
      <c r="S41" s="41">
        <f t="shared" si="1"/>
        <v>1359.9999998725</v>
      </c>
      <c r="T41" s="31">
        <v>500</v>
      </c>
      <c r="U41" s="39">
        <v>0.2</v>
      </c>
      <c r="V41" s="42">
        <f t="shared" si="2"/>
        <v>1279.9999998799999</v>
      </c>
      <c r="W41" s="60">
        <v>1000</v>
      </c>
      <c r="X41" s="61">
        <f t="shared" si="3"/>
        <v>0.25</v>
      </c>
      <c r="Y41" s="62">
        <f t="shared" si="4"/>
        <v>1199.9999998875001</v>
      </c>
    </row>
    <row r="42" spans="1:25" ht="14.25" customHeight="1" x14ac:dyDescent="0.25">
      <c r="A42" s="7">
        <v>3030366</v>
      </c>
      <c r="B42" s="14" t="s">
        <v>94</v>
      </c>
      <c r="C42" s="9">
        <v>3330</v>
      </c>
      <c r="D42" s="10">
        <v>1499.9949999999999</v>
      </c>
      <c r="E42" s="34">
        <v>1244.9994200000001</v>
      </c>
      <c r="F42" s="34">
        <v>1699.9994899999999</v>
      </c>
      <c r="G42" s="11">
        <v>1090.04</v>
      </c>
      <c r="H42" s="12" t="s">
        <v>80</v>
      </c>
      <c r="I42" s="12" t="s">
        <v>80</v>
      </c>
      <c r="J42" s="13" t="s">
        <v>20</v>
      </c>
      <c r="K42" s="14" t="s">
        <v>95</v>
      </c>
      <c r="L42" s="66">
        <v>5</v>
      </c>
      <c r="M42" s="44">
        <v>5</v>
      </c>
      <c r="N42" s="43" t="s">
        <v>18</v>
      </c>
      <c r="O42" s="38">
        <v>7.0000000000000007E-2</v>
      </c>
      <c r="P42" s="40">
        <f t="shared" si="0"/>
        <v>1580.9995256999998</v>
      </c>
      <c r="Q42" s="29">
        <v>100</v>
      </c>
      <c r="R42" s="37">
        <v>0.15</v>
      </c>
      <c r="S42" s="41">
        <f t="shared" si="1"/>
        <v>1444.9995664999999</v>
      </c>
      <c r="T42" s="31">
        <v>500</v>
      </c>
      <c r="U42" s="39">
        <v>0.2</v>
      </c>
      <c r="V42" s="42">
        <f t="shared" si="2"/>
        <v>1359.9995919999999</v>
      </c>
      <c r="W42" s="60">
        <v>1000</v>
      </c>
      <c r="X42" s="61">
        <f t="shared" si="3"/>
        <v>0.25</v>
      </c>
      <c r="Y42" s="62">
        <f t="shared" si="4"/>
        <v>1274.9996174999999</v>
      </c>
    </row>
    <row r="43" spans="1:25" ht="14.25" customHeight="1" x14ac:dyDescent="0.25">
      <c r="A43" s="7">
        <v>3030362</v>
      </c>
      <c r="B43" s="14" t="s">
        <v>96</v>
      </c>
      <c r="C43" s="9">
        <v>3282</v>
      </c>
      <c r="D43" s="10">
        <v>1499.9949999999999</v>
      </c>
      <c r="E43" s="34">
        <v>1244.99999953</v>
      </c>
      <c r="F43" s="34">
        <v>1599.99999985</v>
      </c>
      <c r="G43" s="11">
        <v>1090.04</v>
      </c>
      <c r="H43" s="12" t="s">
        <v>80</v>
      </c>
      <c r="I43" s="12" t="s">
        <v>80</v>
      </c>
      <c r="J43" s="13" t="s">
        <v>20</v>
      </c>
      <c r="K43" s="14" t="s">
        <v>97</v>
      </c>
      <c r="L43" s="66">
        <v>5</v>
      </c>
      <c r="M43" s="44">
        <v>5</v>
      </c>
      <c r="N43" s="43" t="s">
        <v>18</v>
      </c>
      <c r="O43" s="38">
        <v>7.0000000000000007E-2</v>
      </c>
      <c r="P43" s="40">
        <f t="shared" si="0"/>
        <v>1487.9999998604999</v>
      </c>
      <c r="Q43" s="29">
        <v>100</v>
      </c>
      <c r="R43" s="37">
        <v>0.15</v>
      </c>
      <c r="S43" s="41">
        <f t="shared" si="1"/>
        <v>1359.9999998725</v>
      </c>
      <c r="T43" s="31">
        <v>500</v>
      </c>
      <c r="U43" s="39">
        <v>0.2</v>
      </c>
      <c r="V43" s="42">
        <f t="shared" si="2"/>
        <v>1279.9999998799999</v>
      </c>
      <c r="W43" s="60">
        <v>1000</v>
      </c>
      <c r="X43" s="61">
        <f t="shared" si="3"/>
        <v>0.25</v>
      </c>
      <c r="Y43" s="62">
        <f t="shared" si="4"/>
        <v>1199.9999998875001</v>
      </c>
    </row>
    <row r="44" spans="1:25" ht="14.25" customHeight="1" x14ac:dyDescent="0.25">
      <c r="A44" s="7">
        <v>3030365</v>
      </c>
      <c r="B44" s="14" t="s">
        <v>98</v>
      </c>
      <c r="C44" s="9">
        <v>1350</v>
      </c>
      <c r="D44" s="10">
        <v>1499.9949999999999</v>
      </c>
      <c r="E44" s="34">
        <v>1244.99999953</v>
      </c>
      <c r="F44" s="34">
        <v>1599.99999985</v>
      </c>
      <c r="G44" s="11">
        <v>1090.04</v>
      </c>
      <c r="H44" s="12" t="s">
        <v>80</v>
      </c>
      <c r="I44" s="12" t="s">
        <v>80</v>
      </c>
      <c r="J44" s="13" t="s">
        <v>20</v>
      </c>
      <c r="K44" s="14" t="s">
        <v>99</v>
      </c>
      <c r="L44" s="66">
        <v>5</v>
      </c>
      <c r="M44" s="44">
        <v>5</v>
      </c>
      <c r="N44" s="43" t="s">
        <v>18</v>
      </c>
      <c r="O44" s="38">
        <v>7.0000000000000007E-2</v>
      </c>
      <c r="P44" s="40">
        <f t="shared" si="0"/>
        <v>1487.9999998604999</v>
      </c>
      <c r="Q44" s="29">
        <v>100</v>
      </c>
      <c r="R44" s="37">
        <v>0.15</v>
      </c>
      <c r="S44" s="41">
        <f t="shared" si="1"/>
        <v>1359.9999998725</v>
      </c>
      <c r="T44" s="31">
        <v>500</v>
      </c>
      <c r="U44" s="39">
        <v>0.2</v>
      </c>
      <c r="V44" s="42">
        <f t="shared" si="2"/>
        <v>1279.9999998799999</v>
      </c>
      <c r="W44" s="60">
        <v>1000</v>
      </c>
      <c r="X44" s="61">
        <f t="shared" si="3"/>
        <v>0.25</v>
      </c>
      <c r="Y44" s="62">
        <f t="shared" si="4"/>
        <v>1199.9999998875001</v>
      </c>
    </row>
    <row r="45" spans="1:25" ht="14.25" customHeight="1" x14ac:dyDescent="0.25">
      <c r="A45" s="7">
        <v>3030367</v>
      </c>
      <c r="B45" s="14" t="s">
        <v>100</v>
      </c>
      <c r="C45" s="9">
        <v>3374</v>
      </c>
      <c r="D45" s="10">
        <v>1499.9949999999999</v>
      </c>
      <c r="E45" s="34">
        <v>1244.9994200000001</v>
      </c>
      <c r="F45" s="34">
        <v>1699.9994899999999</v>
      </c>
      <c r="G45" s="11">
        <v>1090.04</v>
      </c>
      <c r="H45" s="12" t="s">
        <v>80</v>
      </c>
      <c r="I45" s="12" t="s">
        <v>80</v>
      </c>
      <c r="J45" s="13" t="s">
        <v>20</v>
      </c>
      <c r="K45" s="14" t="s">
        <v>101</v>
      </c>
      <c r="L45" s="66">
        <v>5</v>
      </c>
      <c r="M45" s="44">
        <v>5</v>
      </c>
      <c r="N45" s="43" t="s">
        <v>18</v>
      </c>
      <c r="O45" s="38">
        <v>7.0000000000000007E-2</v>
      </c>
      <c r="P45" s="40">
        <f t="shared" si="0"/>
        <v>1580.9995256999998</v>
      </c>
      <c r="Q45" s="29">
        <v>100</v>
      </c>
      <c r="R45" s="37">
        <v>0.15</v>
      </c>
      <c r="S45" s="41">
        <f t="shared" si="1"/>
        <v>1444.9995664999999</v>
      </c>
      <c r="T45" s="31">
        <v>500</v>
      </c>
      <c r="U45" s="39">
        <v>0.2</v>
      </c>
      <c r="V45" s="42">
        <f t="shared" si="2"/>
        <v>1359.9995919999999</v>
      </c>
      <c r="W45" s="60">
        <v>1000</v>
      </c>
      <c r="X45" s="61">
        <f t="shared" si="3"/>
        <v>0.25</v>
      </c>
      <c r="Y45" s="62">
        <f t="shared" si="4"/>
        <v>1274.9996174999999</v>
      </c>
    </row>
    <row r="46" spans="1:25" ht="14.25" customHeight="1" x14ac:dyDescent="0.25">
      <c r="A46" s="7">
        <v>3030369</v>
      </c>
      <c r="B46" s="14" t="s">
        <v>102</v>
      </c>
      <c r="C46" s="9">
        <v>9372</v>
      </c>
      <c r="D46" s="10">
        <v>1499.9949999999999</v>
      </c>
      <c r="E46" s="34">
        <v>1244.99999953</v>
      </c>
      <c r="F46" s="34">
        <v>1599.99999985</v>
      </c>
      <c r="G46" s="11">
        <v>1090.04</v>
      </c>
      <c r="H46" s="12" t="s">
        <v>80</v>
      </c>
      <c r="I46" s="12" t="s">
        <v>80</v>
      </c>
      <c r="J46" s="13" t="s">
        <v>20</v>
      </c>
      <c r="K46" s="14" t="s">
        <v>103</v>
      </c>
      <c r="L46" s="66">
        <v>5</v>
      </c>
      <c r="M46" s="44">
        <v>5</v>
      </c>
      <c r="N46" s="43" t="s">
        <v>18</v>
      </c>
      <c r="O46" s="38">
        <v>7.0000000000000007E-2</v>
      </c>
      <c r="P46" s="40">
        <f t="shared" si="0"/>
        <v>1487.9999998604999</v>
      </c>
      <c r="Q46" s="29">
        <v>100</v>
      </c>
      <c r="R46" s="37">
        <v>0.15</v>
      </c>
      <c r="S46" s="41">
        <f t="shared" si="1"/>
        <v>1359.9999998725</v>
      </c>
      <c r="T46" s="31">
        <v>500</v>
      </c>
      <c r="U46" s="39">
        <v>0.2</v>
      </c>
      <c r="V46" s="42">
        <f t="shared" si="2"/>
        <v>1279.9999998799999</v>
      </c>
      <c r="W46" s="60">
        <v>1000</v>
      </c>
      <c r="X46" s="61">
        <f t="shared" si="3"/>
        <v>0.25</v>
      </c>
      <c r="Y46" s="62">
        <f t="shared" si="4"/>
        <v>1199.9999998875001</v>
      </c>
    </row>
    <row r="47" spans="1:25" ht="14.25" customHeight="1" x14ac:dyDescent="0.25">
      <c r="A47" s="7">
        <v>3030371</v>
      </c>
      <c r="B47" s="14" t="s">
        <v>104</v>
      </c>
      <c r="C47" s="9">
        <v>1318</v>
      </c>
      <c r="D47" s="10">
        <v>1499.9949999999999</v>
      </c>
      <c r="E47" s="34">
        <v>1244.99999953</v>
      </c>
      <c r="F47" s="34">
        <v>1599.99999985</v>
      </c>
      <c r="G47" s="11">
        <v>1090.04</v>
      </c>
      <c r="H47" s="12" t="s">
        <v>80</v>
      </c>
      <c r="I47" s="12" t="s">
        <v>80</v>
      </c>
      <c r="J47" s="13" t="s">
        <v>20</v>
      </c>
      <c r="K47" s="14" t="s">
        <v>105</v>
      </c>
      <c r="L47" s="66">
        <v>5</v>
      </c>
      <c r="M47" s="44">
        <v>5</v>
      </c>
      <c r="N47" s="43" t="s">
        <v>18</v>
      </c>
      <c r="O47" s="38">
        <v>7.0000000000000007E-2</v>
      </c>
      <c r="P47" s="40">
        <f t="shared" si="0"/>
        <v>1487.9999998604999</v>
      </c>
      <c r="Q47" s="29">
        <v>100</v>
      </c>
      <c r="R47" s="37">
        <v>0.15</v>
      </c>
      <c r="S47" s="41">
        <f t="shared" si="1"/>
        <v>1359.9999998725</v>
      </c>
      <c r="T47" s="31">
        <v>500</v>
      </c>
      <c r="U47" s="39">
        <v>0.2</v>
      </c>
      <c r="V47" s="42">
        <f t="shared" si="2"/>
        <v>1279.9999998799999</v>
      </c>
      <c r="W47" s="60">
        <v>1000</v>
      </c>
      <c r="X47" s="61">
        <f t="shared" si="3"/>
        <v>0.25</v>
      </c>
      <c r="Y47" s="62">
        <f t="shared" si="4"/>
        <v>1199.9999998875001</v>
      </c>
    </row>
    <row r="48" spans="1:25" ht="14.25" customHeight="1" x14ac:dyDescent="0.25">
      <c r="A48" s="7">
        <v>3030372</v>
      </c>
      <c r="B48" s="14" t="s">
        <v>106</v>
      </c>
      <c r="C48" s="9">
        <v>1409</v>
      </c>
      <c r="D48" s="10">
        <v>1499.9949999999999</v>
      </c>
      <c r="E48" s="34">
        <v>1244.99999953</v>
      </c>
      <c r="F48" s="34">
        <v>1599.99999985</v>
      </c>
      <c r="G48" s="11">
        <v>1090.04</v>
      </c>
      <c r="H48" s="12" t="s">
        <v>80</v>
      </c>
      <c r="I48" s="12" t="s">
        <v>80</v>
      </c>
      <c r="J48" s="13" t="s">
        <v>20</v>
      </c>
      <c r="K48" s="14" t="s">
        <v>107</v>
      </c>
      <c r="L48" s="66">
        <v>5</v>
      </c>
      <c r="M48" s="44">
        <v>5</v>
      </c>
      <c r="N48" s="43" t="s">
        <v>18</v>
      </c>
      <c r="O48" s="38">
        <v>7.0000000000000007E-2</v>
      </c>
      <c r="P48" s="40">
        <f t="shared" si="0"/>
        <v>1487.9999998604999</v>
      </c>
      <c r="Q48" s="29">
        <v>100</v>
      </c>
      <c r="R48" s="37">
        <v>0.15</v>
      </c>
      <c r="S48" s="41">
        <f t="shared" si="1"/>
        <v>1359.9999998725</v>
      </c>
      <c r="T48" s="31">
        <v>500</v>
      </c>
      <c r="U48" s="39">
        <v>0.2</v>
      </c>
      <c r="V48" s="42">
        <f t="shared" si="2"/>
        <v>1279.9999998799999</v>
      </c>
      <c r="W48" s="60">
        <v>1000</v>
      </c>
      <c r="X48" s="61">
        <f t="shared" si="3"/>
        <v>0.25</v>
      </c>
      <c r="Y48" s="62">
        <f t="shared" si="4"/>
        <v>1199.9999998875001</v>
      </c>
    </row>
    <row r="49" spans="1:25" ht="14.25" customHeight="1" x14ac:dyDescent="0.25">
      <c r="A49" s="7">
        <v>3030368</v>
      </c>
      <c r="B49" s="14" t="s">
        <v>108</v>
      </c>
      <c r="C49" s="9">
        <v>8484</v>
      </c>
      <c r="D49" s="10">
        <v>1499.9949999999999</v>
      </c>
      <c r="E49" s="34">
        <v>1244.99999953</v>
      </c>
      <c r="F49" s="34">
        <v>1599.99999985</v>
      </c>
      <c r="G49" s="11">
        <v>1090.04</v>
      </c>
      <c r="H49" s="12" t="s">
        <v>80</v>
      </c>
      <c r="I49" s="12" t="s">
        <v>80</v>
      </c>
      <c r="J49" s="13" t="s">
        <v>20</v>
      </c>
      <c r="K49" s="14" t="s">
        <v>109</v>
      </c>
      <c r="L49" s="66">
        <v>5</v>
      </c>
      <c r="M49" s="44">
        <v>5</v>
      </c>
      <c r="N49" s="43" t="s">
        <v>18</v>
      </c>
      <c r="O49" s="38">
        <v>7.0000000000000007E-2</v>
      </c>
      <c r="P49" s="40">
        <f t="shared" si="0"/>
        <v>1487.9999998604999</v>
      </c>
      <c r="Q49" s="29">
        <v>100</v>
      </c>
      <c r="R49" s="37">
        <v>0.15</v>
      </c>
      <c r="S49" s="41">
        <f t="shared" si="1"/>
        <v>1359.9999998725</v>
      </c>
      <c r="T49" s="31">
        <v>500</v>
      </c>
      <c r="U49" s="39">
        <v>0.2</v>
      </c>
      <c r="V49" s="42">
        <f t="shared" si="2"/>
        <v>1279.9999998799999</v>
      </c>
      <c r="W49" s="60">
        <v>1000</v>
      </c>
      <c r="X49" s="61">
        <f t="shared" si="3"/>
        <v>0.25</v>
      </c>
      <c r="Y49" s="62">
        <f t="shared" si="4"/>
        <v>1199.9999998875001</v>
      </c>
    </row>
    <row r="50" spans="1:25" ht="14.25" customHeight="1" x14ac:dyDescent="0.25">
      <c r="A50" s="7">
        <v>3030374</v>
      </c>
      <c r="B50" s="14" t="s">
        <v>110</v>
      </c>
      <c r="C50" s="9">
        <v>2380</v>
      </c>
      <c r="D50" s="10">
        <v>1499.9949999999999</v>
      </c>
      <c r="E50" s="34">
        <v>1244.99999953</v>
      </c>
      <c r="F50" s="34">
        <v>1599.99999985</v>
      </c>
      <c r="G50" s="11">
        <v>1090.04</v>
      </c>
      <c r="H50" s="12" t="s">
        <v>80</v>
      </c>
      <c r="I50" s="12" t="s">
        <v>80</v>
      </c>
      <c r="J50" s="13" t="s">
        <v>20</v>
      </c>
      <c r="K50" s="14" t="s">
        <v>111</v>
      </c>
      <c r="L50" s="66">
        <v>5</v>
      </c>
      <c r="M50" s="44">
        <v>5</v>
      </c>
      <c r="N50" s="43" t="s">
        <v>18</v>
      </c>
      <c r="O50" s="38">
        <v>7.0000000000000007E-2</v>
      </c>
      <c r="P50" s="40">
        <f t="shared" si="0"/>
        <v>1487.9999998604999</v>
      </c>
      <c r="Q50" s="29">
        <v>100</v>
      </c>
      <c r="R50" s="37">
        <v>0.15</v>
      </c>
      <c r="S50" s="41">
        <f t="shared" si="1"/>
        <v>1359.9999998725</v>
      </c>
      <c r="T50" s="31">
        <v>500</v>
      </c>
      <c r="U50" s="39">
        <v>0.2</v>
      </c>
      <c r="V50" s="42">
        <f t="shared" si="2"/>
        <v>1279.9999998799999</v>
      </c>
      <c r="W50" s="60">
        <v>1000</v>
      </c>
      <c r="X50" s="61">
        <f t="shared" si="3"/>
        <v>0.25</v>
      </c>
      <c r="Y50" s="62">
        <f t="shared" si="4"/>
        <v>1199.9999998875001</v>
      </c>
    </row>
    <row r="51" spans="1:25" ht="14.25" customHeight="1" x14ac:dyDescent="0.25">
      <c r="A51" s="7">
        <v>3030370</v>
      </c>
      <c r="B51" s="14" t="s">
        <v>112</v>
      </c>
      <c r="C51" s="9">
        <v>3362</v>
      </c>
      <c r="D51" s="10">
        <v>1499.9949999999999</v>
      </c>
      <c r="E51" s="34">
        <v>1244.99999953</v>
      </c>
      <c r="F51" s="34">
        <v>1599.99999985</v>
      </c>
      <c r="G51" s="11">
        <v>1090.04</v>
      </c>
      <c r="H51" s="12" t="s">
        <v>80</v>
      </c>
      <c r="I51" s="12" t="s">
        <v>80</v>
      </c>
      <c r="J51" s="13" t="s">
        <v>20</v>
      </c>
      <c r="K51" s="14" t="s">
        <v>113</v>
      </c>
      <c r="L51" s="66">
        <v>5</v>
      </c>
      <c r="M51" s="44">
        <v>5</v>
      </c>
      <c r="N51" s="43" t="s">
        <v>18</v>
      </c>
      <c r="O51" s="38">
        <v>7.0000000000000007E-2</v>
      </c>
      <c r="P51" s="40">
        <f t="shared" si="0"/>
        <v>1487.9999998604999</v>
      </c>
      <c r="Q51" s="29">
        <v>100</v>
      </c>
      <c r="R51" s="37">
        <v>0.15</v>
      </c>
      <c r="S51" s="41">
        <f t="shared" si="1"/>
        <v>1359.9999998725</v>
      </c>
      <c r="T51" s="31">
        <v>500</v>
      </c>
      <c r="U51" s="39">
        <v>0.2</v>
      </c>
      <c r="V51" s="42">
        <f t="shared" si="2"/>
        <v>1279.9999998799999</v>
      </c>
      <c r="W51" s="60">
        <v>1000</v>
      </c>
      <c r="X51" s="61">
        <f t="shared" si="3"/>
        <v>0.25</v>
      </c>
      <c r="Y51" s="62">
        <f t="shared" si="4"/>
        <v>1199.9999998875001</v>
      </c>
    </row>
    <row r="52" spans="1:25" ht="14.25" customHeight="1" x14ac:dyDescent="0.25">
      <c r="A52" s="7">
        <v>3030373</v>
      </c>
      <c r="B52" s="14" t="s">
        <v>114</v>
      </c>
      <c r="C52" s="9">
        <v>2835</v>
      </c>
      <c r="D52" s="10">
        <v>1499.9949999999999</v>
      </c>
      <c r="E52" s="34">
        <v>1244.99999953</v>
      </c>
      <c r="F52" s="34">
        <v>1599.99999985</v>
      </c>
      <c r="G52" s="11">
        <v>1090.04</v>
      </c>
      <c r="H52" s="12" t="s">
        <v>80</v>
      </c>
      <c r="I52" s="12" t="s">
        <v>80</v>
      </c>
      <c r="J52" s="13" t="s">
        <v>20</v>
      </c>
      <c r="K52" s="14" t="s">
        <v>115</v>
      </c>
      <c r="L52" s="66">
        <v>5</v>
      </c>
      <c r="M52" s="44">
        <v>5</v>
      </c>
      <c r="N52" s="43" t="s">
        <v>18</v>
      </c>
      <c r="O52" s="38">
        <v>7.0000000000000007E-2</v>
      </c>
      <c r="P52" s="40">
        <f t="shared" si="0"/>
        <v>1487.9999998604999</v>
      </c>
      <c r="Q52" s="29">
        <v>100</v>
      </c>
      <c r="R52" s="37">
        <v>0.15</v>
      </c>
      <c r="S52" s="41">
        <f t="shared" si="1"/>
        <v>1359.9999998725</v>
      </c>
      <c r="T52" s="31">
        <v>500</v>
      </c>
      <c r="U52" s="39">
        <v>0.2</v>
      </c>
      <c r="V52" s="42">
        <f t="shared" si="2"/>
        <v>1279.9999998799999</v>
      </c>
      <c r="W52" s="60">
        <v>1000</v>
      </c>
      <c r="X52" s="61">
        <f t="shared" si="3"/>
        <v>0.25</v>
      </c>
      <c r="Y52" s="62">
        <f t="shared" si="4"/>
        <v>1199.9999998875001</v>
      </c>
    </row>
    <row r="53" spans="1:25" ht="14.25" customHeight="1" x14ac:dyDescent="0.25">
      <c r="A53" s="7">
        <v>3030375</v>
      </c>
      <c r="B53" s="14" t="s">
        <v>116</v>
      </c>
      <c r="C53" s="9">
        <v>5180</v>
      </c>
      <c r="D53" s="10">
        <v>1499.9949999999999</v>
      </c>
      <c r="E53" s="34">
        <v>1244.9994200000001</v>
      </c>
      <c r="F53" s="34">
        <v>1699.9994899999999</v>
      </c>
      <c r="G53" s="11">
        <v>1090.04</v>
      </c>
      <c r="H53" s="12" t="s">
        <v>80</v>
      </c>
      <c r="I53" s="12" t="s">
        <v>80</v>
      </c>
      <c r="J53" s="13" t="s">
        <v>20</v>
      </c>
      <c r="K53" s="14" t="s">
        <v>117</v>
      </c>
      <c r="L53" s="66">
        <v>5</v>
      </c>
      <c r="M53" s="44">
        <v>5</v>
      </c>
      <c r="N53" s="43" t="s">
        <v>18</v>
      </c>
      <c r="O53" s="38">
        <v>7.0000000000000007E-2</v>
      </c>
      <c r="P53" s="40">
        <f t="shared" si="0"/>
        <v>1580.9995256999998</v>
      </c>
      <c r="Q53" s="29">
        <v>100</v>
      </c>
      <c r="R53" s="37">
        <v>0.15</v>
      </c>
      <c r="S53" s="41">
        <f t="shared" si="1"/>
        <v>1444.9995664999999</v>
      </c>
      <c r="T53" s="31">
        <v>500</v>
      </c>
      <c r="U53" s="39">
        <v>0.2</v>
      </c>
      <c r="V53" s="42">
        <f t="shared" si="2"/>
        <v>1359.9995919999999</v>
      </c>
      <c r="W53" s="60">
        <v>1000</v>
      </c>
      <c r="X53" s="61">
        <f t="shared" si="3"/>
        <v>0.25</v>
      </c>
      <c r="Y53" s="62">
        <f t="shared" si="4"/>
        <v>1274.9996174999999</v>
      </c>
    </row>
    <row r="54" spans="1:25" ht="14.25" customHeight="1" x14ac:dyDescent="0.25">
      <c r="A54" s="7">
        <v>3031999</v>
      </c>
      <c r="B54" s="14" t="s">
        <v>118</v>
      </c>
      <c r="C54" s="9">
        <v>3300</v>
      </c>
      <c r="D54" s="10">
        <v>1750.0020999999999</v>
      </c>
      <c r="E54" s="34">
        <v>1680.99999998</v>
      </c>
      <c r="F54" s="34">
        <v>2000.00000011</v>
      </c>
      <c r="G54" s="11"/>
      <c r="H54" s="12" t="s">
        <v>18</v>
      </c>
      <c r="I54" s="12" t="s">
        <v>19</v>
      </c>
      <c r="J54" s="13" t="s">
        <v>20</v>
      </c>
      <c r="K54" s="14" t="s">
        <v>119</v>
      </c>
      <c r="L54" s="66">
        <v>5</v>
      </c>
      <c r="M54" s="44">
        <v>5</v>
      </c>
      <c r="N54" s="43" t="s">
        <v>18</v>
      </c>
      <c r="O54" s="38">
        <v>7.0000000000000007E-2</v>
      </c>
      <c r="P54" s="40">
        <f t="shared" si="0"/>
        <v>1860.0000001023</v>
      </c>
      <c r="Q54" s="29">
        <v>100</v>
      </c>
      <c r="R54" s="37">
        <v>0.15</v>
      </c>
      <c r="S54" s="41">
        <f t="shared" si="1"/>
        <v>1700.0000000934999</v>
      </c>
      <c r="T54" s="31">
        <v>500</v>
      </c>
      <c r="U54" s="39">
        <v>0.2</v>
      </c>
      <c r="V54" s="42">
        <f t="shared" si="2"/>
        <v>1600.000000088</v>
      </c>
      <c r="W54" s="60">
        <v>1000</v>
      </c>
      <c r="X54" s="61">
        <f t="shared" si="3"/>
        <v>0.25</v>
      </c>
      <c r="Y54" s="62">
        <f t="shared" si="4"/>
        <v>1500.0000000825</v>
      </c>
    </row>
    <row r="55" spans="1:25" ht="14.25" customHeight="1" x14ac:dyDescent="0.25">
      <c r="A55" s="7">
        <v>3032100</v>
      </c>
      <c r="B55" s="14" t="s">
        <v>120</v>
      </c>
      <c r="C55" s="9">
        <v>1550</v>
      </c>
      <c r="D55" s="10">
        <v>1750.0020999999999</v>
      </c>
      <c r="E55" s="34">
        <v>1680.99999998</v>
      </c>
      <c r="F55" s="34">
        <v>2000.00000011</v>
      </c>
      <c r="G55" s="11"/>
      <c r="H55" s="12" t="s">
        <v>18</v>
      </c>
      <c r="I55" s="12" t="s">
        <v>19</v>
      </c>
      <c r="J55" s="13" t="s">
        <v>20</v>
      </c>
      <c r="K55" s="14" t="s">
        <v>121</v>
      </c>
      <c r="L55" s="66">
        <v>5</v>
      </c>
      <c r="M55" s="44">
        <v>5</v>
      </c>
      <c r="N55" s="43" t="s">
        <v>18</v>
      </c>
      <c r="O55" s="38">
        <v>7.0000000000000007E-2</v>
      </c>
      <c r="P55" s="40">
        <f t="shared" si="0"/>
        <v>1860.0000001023</v>
      </c>
      <c r="Q55" s="29">
        <v>100</v>
      </c>
      <c r="R55" s="37">
        <v>0.15</v>
      </c>
      <c r="S55" s="41">
        <f t="shared" si="1"/>
        <v>1700.0000000934999</v>
      </c>
      <c r="T55" s="31">
        <v>500</v>
      </c>
      <c r="U55" s="39">
        <v>0.2</v>
      </c>
      <c r="V55" s="42">
        <f t="shared" si="2"/>
        <v>1600.000000088</v>
      </c>
      <c r="W55" s="60">
        <v>1000</v>
      </c>
      <c r="X55" s="61">
        <f t="shared" si="3"/>
        <v>0.25</v>
      </c>
      <c r="Y55" s="62">
        <f t="shared" si="4"/>
        <v>1500.0000000825</v>
      </c>
    </row>
    <row r="56" spans="1:25" ht="14.25" customHeight="1" x14ac:dyDescent="0.25">
      <c r="A56" s="7">
        <v>3031200</v>
      </c>
      <c r="B56" s="14" t="s">
        <v>122</v>
      </c>
      <c r="C56" s="9">
        <v>1407</v>
      </c>
      <c r="D56" s="10">
        <v>1750.0020999999999</v>
      </c>
      <c r="E56" s="34">
        <v>1680.99999998</v>
      </c>
      <c r="F56" s="34">
        <v>2000.00000011</v>
      </c>
      <c r="G56" s="11"/>
      <c r="H56" s="12" t="s">
        <v>18</v>
      </c>
      <c r="I56" s="12" t="s">
        <v>19</v>
      </c>
      <c r="J56" s="13" t="s">
        <v>20</v>
      </c>
      <c r="K56" s="14" t="s">
        <v>123</v>
      </c>
      <c r="L56" s="66">
        <v>5</v>
      </c>
      <c r="M56" s="44">
        <v>5</v>
      </c>
      <c r="N56" s="43" t="s">
        <v>18</v>
      </c>
      <c r="O56" s="38">
        <v>7.0000000000000007E-2</v>
      </c>
      <c r="P56" s="40">
        <f t="shared" si="0"/>
        <v>1860.0000001023</v>
      </c>
      <c r="Q56" s="29">
        <v>100</v>
      </c>
      <c r="R56" s="37">
        <v>0.15</v>
      </c>
      <c r="S56" s="41">
        <f t="shared" si="1"/>
        <v>1700.0000000934999</v>
      </c>
      <c r="T56" s="31">
        <v>500</v>
      </c>
      <c r="U56" s="39">
        <v>0.2</v>
      </c>
      <c r="V56" s="42">
        <f t="shared" si="2"/>
        <v>1600.000000088</v>
      </c>
      <c r="W56" s="60">
        <v>1000</v>
      </c>
      <c r="X56" s="61">
        <f t="shared" si="3"/>
        <v>0.25</v>
      </c>
      <c r="Y56" s="62">
        <f t="shared" si="4"/>
        <v>1500.0000000825</v>
      </c>
    </row>
    <row r="57" spans="1:25" ht="14.25" customHeight="1" x14ac:dyDescent="0.25">
      <c r="A57" s="15">
        <v>3031997</v>
      </c>
      <c r="B57" s="14" t="s">
        <v>124</v>
      </c>
      <c r="C57" s="9">
        <v>2190</v>
      </c>
      <c r="D57" s="10">
        <v>1750.0020999999999</v>
      </c>
      <c r="E57" s="34">
        <v>1680.99999998</v>
      </c>
      <c r="F57" s="34">
        <v>2000.00000011</v>
      </c>
      <c r="G57" s="11"/>
      <c r="H57" s="12" t="s">
        <v>18</v>
      </c>
      <c r="I57" s="12" t="s">
        <v>19</v>
      </c>
      <c r="J57" s="13" t="s">
        <v>20</v>
      </c>
      <c r="K57" s="14" t="s">
        <v>125</v>
      </c>
      <c r="L57" s="66">
        <v>5</v>
      </c>
      <c r="M57" s="44">
        <v>5</v>
      </c>
      <c r="N57" s="43" t="s">
        <v>18</v>
      </c>
      <c r="O57" s="38">
        <v>7.0000000000000007E-2</v>
      </c>
      <c r="P57" s="40">
        <f t="shared" si="0"/>
        <v>1860.0000001023</v>
      </c>
      <c r="Q57" s="29">
        <v>100</v>
      </c>
      <c r="R57" s="37">
        <v>0.15</v>
      </c>
      <c r="S57" s="41">
        <f t="shared" si="1"/>
        <v>1700.0000000934999</v>
      </c>
      <c r="T57" s="31">
        <v>500</v>
      </c>
      <c r="U57" s="39">
        <v>0.2</v>
      </c>
      <c r="V57" s="42">
        <f t="shared" si="2"/>
        <v>1600.000000088</v>
      </c>
      <c r="W57" s="60">
        <v>1000</v>
      </c>
      <c r="X57" s="61">
        <f t="shared" si="3"/>
        <v>0.25</v>
      </c>
      <c r="Y57" s="62">
        <f t="shared" si="4"/>
        <v>1500.0000000825</v>
      </c>
    </row>
    <row r="58" spans="1:25" ht="14.25" customHeight="1" x14ac:dyDescent="0.25">
      <c r="A58" s="15">
        <v>3031998</v>
      </c>
      <c r="B58" s="14" t="s">
        <v>126</v>
      </c>
      <c r="C58" s="9">
        <v>182</v>
      </c>
      <c r="D58" s="10">
        <v>1750.0020999999999</v>
      </c>
      <c r="E58" s="34">
        <v>1680.99999998</v>
      </c>
      <c r="F58" s="34">
        <v>2000.00000011</v>
      </c>
      <c r="G58" s="11"/>
      <c r="H58" s="12" t="s">
        <v>18</v>
      </c>
      <c r="I58" s="12" t="s">
        <v>19</v>
      </c>
      <c r="J58" s="13" t="s">
        <v>20</v>
      </c>
      <c r="K58" s="14" t="s">
        <v>127</v>
      </c>
      <c r="L58" s="66">
        <v>5</v>
      </c>
      <c r="M58" s="44">
        <v>5</v>
      </c>
      <c r="N58" s="43" t="s">
        <v>18</v>
      </c>
      <c r="O58" s="38">
        <v>7.0000000000000007E-2</v>
      </c>
      <c r="P58" s="40">
        <f t="shared" si="0"/>
        <v>1860.0000001023</v>
      </c>
      <c r="Q58" s="29">
        <v>100</v>
      </c>
      <c r="R58" s="37">
        <v>0.15</v>
      </c>
      <c r="S58" s="41">
        <f t="shared" si="1"/>
        <v>1700.0000000934999</v>
      </c>
      <c r="T58" s="31">
        <v>500</v>
      </c>
      <c r="U58" s="39">
        <v>0.2</v>
      </c>
      <c r="V58" s="42">
        <f t="shared" si="2"/>
        <v>1600.000000088</v>
      </c>
      <c r="W58" s="60">
        <v>1000</v>
      </c>
      <c r="X58" s="61">
        <f t="shared" si="3"/>
        <v>0.25</v>
      </c>
      <c r="Y58" s="62">
        <f t="shared" si="4"/>
        <v>1500.0000000825</v>
      </c>
    </row>
    <row r="59" spans="1:25" ht="14.25" customHeight="1" x14ac:dyDescent="0.25">
      <c r="A59" s="15">
        <v>3031914</v>
      </c>
      <c r="B59" s="14" t="s">
        <v>128</v>
      </c>
      <c r="C59" s="9">
        <v>32</v>
      </c>
      <c r="D59" s="10">
        <v>1750.0020999999999</v>
      </c>
      <c r="E59" s="34">
        <v>1680.99999998</v>
      </c>
      <c r="F59" s="34">
        <v>2000.00000011</v>
      </c>
      <c r="G59" s="11"/>
      <c r="H59" s="12" t="s">
        <v>18</v>
      </c>
      <c r="I59" s="12" t="s">
        <v>19</v>
      </c>
      <c r="J59" s="13" t="s">
        <v>20</v>
      </c>
      <c r="K59" s="14" t="s">
        <v>129</v>
      </c>
      <c r="L59" s="66">
        <v>5</v>
      </c>
      <c r="M59" s="44">
        <v>5</v>
      </c>
      <c r="N59" s="43" t="s">
        <v>18</v>
      </c>
      <c r="O59" s="38">
        <v>7.0000000000000007E-2</v>
      </c>
      <c r="P59" s="40">
        <f t="shared" si="0"/>
        <v>1860.0000001023</v>
      </c>
      <c r="Q59" s="29">
        <v>100</v>
      </c>
      <c r="R59" s="37">
        <v>0.15</v>
      </c>
      <c r="S59" s="41">
        <f t="shared" si="1"/>
        <v>1700.0000000934999</v>
      </c>
      <c r="T59" s="31">
        <v>500</v>
      </c>
      <c r="U59" s="39">
        <v>0.2</v>
      </c>
      <c r="V59" s="42">
        <f t="shared" si="2"/>
        <v>1600.000000088</v>
      </c>
      <c r="W59" s="60">
        <v>1000</v>
      </c>
      <c r="X59" s="61">
        <f t="shared" si="3"/>
        <v>0.25</v>
      </c>
      <c r="Y59" s="62">
        <f t="shared" si="4"/>
        <v>1500.0000000825</v>
      </c>
    </row>
    <row r="60" spans="1:25" ht="14.25" customHeight="1" x14ac:dyDescent="0.25">
      <c r="A60" s="15">
        <v>3031916</v>
      </c>
      <c r="B60" s="14" t="s">
        <v>130</v>
      </c>
      <c r="C60" s="9">
        <v>49</v>
      </c>
      <c r="D60" s="10">
        <v>1750.0020999999999</v>
      </c>
      <c r="E60" s="34">
        <v>1680.99999998</v>
      </c>
      <c r="F60" s="34">
        <v>2000.00000011</v>
      </c>
      <c r="G60" s="11"/>
      <c r="H60" s="12" t="s">
        <v>18</v>
      </c>
      <c r="I60" s="12" t="s">
        <v>19</v>
      </c>
      <c r="J60" s="13" t="s">
        <v>20</v>
      </c>
      <c r="K60" s="14" t="s">
        <v>131</v>
      </c>
      <c r="L60" s="66">
        <v>5</v>
      </c>
      <c r="M60" s="44">
        <v>5</v>
      </c>
      <c r="N60" s="43" t="s">
        <v>18</v>
      </c>
      <c r="O60" s="38">
        <v>7.0000000000000007E-2</v>
      </c>
      <c r="P60" s="40">
        <f t="shared" si="0"/>
        <v>1860.0000001023</v>
      </c>
      <c r="Q60" s="29">
        <v>100</v>
      </c>
      <c r="R60" s="37">
        <v>0.15</v>
      </c>
      <c r="S60" s="41">
        <f t="shared" si="1"/>
        <v>1700.0000000934999</v>
      </c>
      <c r="T60" s="31">
        <v>500</v>
      </c>
      <c r="U60" s="39">
        <v>0.2</v>
      </c>
      <c r="V60" s="42">
        <f t="shared" si="2"/>
        <v>1600.000000088</v>
      </c>
      <c r="W60" s="60">
        <v>1000</v>
      </c>
      <c r="X60" s="61">
        <f t="shared" si="3"/>
        <v>0.25</v>
      </c>
      <c r="Y60" s="62">
        <f t="shared" si="4"/>
        <v>1500.0000000825</v>
      </c>
    </row>
    <row r="61" spans="1:25" ht="14.25" customHeight="1" x14ac:dyDescent="0.25">
      <c r="A61" s="15">
        <v>3031917</v>
      </c>
      <c r="B61" s="14" t="s">
        <v>132</v>
      </c>
      <c r="C61" s="9">
        <v>650</v>
      </c>
      <c r="D61" s="10">
        <v>1750.0020999999999</v>
      </c>
      <c r="E61" s="34">
        <v>1680.99999998</v>
      </c>
      <c r="F61" s="34">
        <v>2000.00000011</v>
      </c>
      <c r="G61" s="11"/>
      <c r="H61" s="12" t="s">
        <v>18</v>
      </c>
      <c r="I61" s="12" t="s">
        <v>19</v>
      </c>
      <c r="J61" s="13" t="s">
        <v>20</v>
      </c>
      <c r="K61" s="14" t="s">
        <v>133</v>
      </c>
      <c r="L61" s="66">
        <v>5</v>
      </c>
      <c r="M61" s="44">
        <v>5</v>
      </c>
      <c r="N61" s="43" t="s">
        <v>18</v>
      </c>
      <c r="O61" s="38">
        <v>7.0000000000000007E-2</v>
      </c>
      <c r="P61" s="40">
        <f t="shared" si="0"/>
        <v>1860.0000001023</v>
      </c>
      <c r="Q61" s="29">
        <v>100</v>
      </c>
      <c r="R61" s="37">
        <v>0.15</v>
      </c>
      <c r="S61" s="41">
        <f t="shared" si="1"/>
        <v>1700.0000000934999</v>
      </c>
      <c r="T61" s="31">
        <v>500</v>
      </c>
      <c r="U61" s="39">
        <v>0.2</v>
      </c>
      <c r="V61" s="42">
        <f t="shared" si="2"/>
        <v>1600.000000088</v>
      </c>
      <c r="W61" s="60">
        <v>1000</v>
      </c>
      <c r="X61" s="61">
        <f t="shared" si="3"/>
        <v>0.25</v>
      </c>
      <c r="Y61" s="62">
        <f t="shared" si="4"/>
        <v>1500.0000000825</v>
      </c>
    </row>
    <row r="62" spans="1:25" ht="14.25" customHeight="1" x14ac:dyDescent="0.25">
      <c r="A62" s="15">
        <v>3031915</v>
      </c>
      <c r="B62" s="14" t="s">
        <v>134</v>
      </c>
      <c r="C62" s="9">
        <v>306</v>
      </c>
      <c r="D62" s="10">
        <v>1750.0020999999999</v>
      </c>
      <c r="E62" s="34">
        <v>1680.99999998</v>
      </c>
      <c r="F62" s="34">
        <v>2000.00000011</v>
      </c>
      <c r="G62" s="11"/>
      <c r="H62" s="12" t="s">
        <v>18</v>
      </c>
      <c r="I62" s="12" t="s">
        <v>19</v>
      </c>
      <c r="J62" s="13" t="s">
        <v>20</v>
      </c>
      <c r="K62" s="14" t="s">
        <v>135</v>
      </c>
      <c r="L62" s="66">
        <v>5</v>
      </c>
      <c r="M62" s="44">
        <v>5</v>
      </c>
      <c r="N62" s="43" t="s">
        <v>18</v>
      </c>
      <c r="O62" s="38">
        <v>7.0000000000000007E-2</v>
      </c>
      <c r="P62" s="40">
        <f t="shared" si="0"/>
        <v>1860.0000001023</v>
      </c>
      <c r="Q62" s="29">
        <v>100</v>
      </c>
      <c r="R62" s="37">
        <v>0.15</v>
      </c>
      <c r="S62" s="41">
        <f t="shared" si="1"/>
        <v>1700.0000000934999</v>
      </c>
      <c r="T62" s="31">
        <v>500</v>
      </c>
      <c r="U62" s="39">
        <v>0.2</v>
      </c>
      <c r="V62" s="42">
        <f t="shared" si="2"/>
        <v>1600.000000088</v>
      </c>
      <c r="W62" s="60">
        <v>1000</v>
      </c>
      <c r="X62" s="61">
        <f t="shared" si="3"/>
        <v>0.25</v>
      </c>
      <c r="Y62" s="62">
        <f t="shared" si="4"/>
        <v>1500.0000000825</v>
      </c>
    </row>
    <row r="63" spans="1:25" ht="14.25" customHeight="1" x14ac:dyDescent="0.25">
      <c r="A63" s="15">
        <v>3030315</v>
      </c>
      <c r="B63" s="14" t="s">
        <v>136</v>
      </c>
      <c r="C63" s="9">
        <v>6579</v>
      </c>
      <c r="D63" s="10">
        <v>1000.0046</v>
      </c>
      <c r="E63" s="34">
        <v>930.00046999999995</v>
      </c>
      <c r="F63" s="34">
        <v>1300.0000299999999</v>
      </c>
      <c r="G63" s="11"/>
      <c r="H63" s="12" t="s">
        <v>18</v>
      </c>
      <c r="I63" s="12" t="s">
        <v>80</v>
      </c>
      <c r="J63" s="13" t="s">
        <v>137</v>
      </c>
      <c r="K63" s="14" t="s">
        <v>138</v>
      </c>
      <c r="L63" s="66">
        <v>5</v>
      </c>
      <c r="M63" s="44">
        <v>10</v>
      </c>
      <c r="N63" s="43" t="s">
        <v>18</v>
      </c>
      <c r="O63" s="38">
        <v>7.0000000000000007E-2</v>
      </c>
      <c r="P63" s="40">
        <f t="shared" si="0"/>
        <v>1209.0000278999998</v>
      </c>
      <c r="Q63" s="29">
        <v>100</v>
      </c>
      <c r="R63" s="37">
        <v>0.15</v>
      </c>
      <c r="S63" s="41">
        <f t="shared" si="1"/>
        <v>1105.0000255</v>
      </c>
      <c r="T63" s="31">
        <v>500</v>
      </c>
      <c r="U63" s="39">
        <v>0.2</v>
      </c>
      <c r="V63" s="42">
        <f t="shared" si="2"/>
        <v>1040.0000239999999</v>
      </c>
      <c r="W63" s="60">
        <v>1000</v>
      </c>
      <c r="X63" s="61">
        <f t="shared" si="3"/>
        <v>0.25</v>
      </c>
      <c r="Y63" s="62">
        <f t="shared" si="4"/>
        <v>975.00002249999989</v>
      </c>
    </row>
    <row r="64" spans="1:25" ht="14.25" customHeight="1" x14ac:dyDescent="0.25">
      <c r="A64" s="15">
        <v>3030288</v>
      </c>
      <c r="B64" s="14" t="s">
        <v>139</v>
      </c>
      <c r="C64" s="9">
        <v>13304</v>
      </c>
      <c r="D64" s="10">
        <v>1100.0002999999999</v>
      </c>
      <c r="E64" s="34">
        <v>932.99999947000003</v>
      </c>
      <c r="F64" s="34">
        <v>1399.9992999999999</v>
      </c>
      <c r="G64" s="11"/>
      <c r="H64" s="12" t="s">
        <v>18</v>
      </c>
      <c r="I64" s="12" t="s">
        <v>80</v>
      </c>
      <c r="J64" s="13" t="s">
        <v>137</v>
      </c>
      <c r="K64" s="14" t="s">
        <v>140</v>
      </c>
      <c r="L64" s="66">
        <v>5</v>
      </c>
      <c r="M64" s="44">
        <v>10</v>
      </c>
      <c r="N64" s="43" t="s">
        <v>18</v>
      </c>
      <c r="O64" s="38">
        <v>7.0000000000000007E-2</v>
      </c>
      <c r="P64" s="40">
        <f t="shared" si="0"/>
        <v>1301.9993489999999</v>
      </c>
      <c r="Q64" s="29">
        <v>100</v>
      </c>
      <c r="R64" s="37">
        <v>0.15</v>
      </c>
      <c r="S64" s="41">
        <f t="shared" si="1"/>
        <v>1189.999405</v>
      </c>
      <c r="T64" s="31">
        <v>500</v>
      </c>
      <c r="U64" s="39">
        <v>0.2</v>
      </c>
      <c r="V64" s="42">
        <f t="shared" si="2"/>
        <v>1119.99944</v>
      </c>
      <c r="W64" s="60">
        <v>1000</v>
      </c>
      <c r="X64" s="61">
        <f t="shared" si="3"/>
        <v>0.25</v>
      </c>
      <c r="Y64" s="62">
        <f t="shared" si="4"/>
        <v>1049.9994750000001</v>
      </c>
    </row>
    <row r="65" spans="1:25" ht="14.25" customHeight="1" x14ac:dyDescent="0.25">
      <c r="A65" s="15">
        <v>3030287</v>
      </c>
      <c r="B65" s="14" t="s">
        <v>141</v>
      </c>
      <c r="C65" s="9">
        <v>3405</v>
      </c>
      <c r="D65" s="10">
        <v>1100.0002999999999</v>
      </c>
      <c r="E65" s="34">
        <v>935.00000034000004</v>
      </c>
      <c r="F65" s="34">
        <v>1399.9992999999999</v>
      </c>
      <c r="G65" s="11"/>
      <c r="H65" s="12" t="s">
        <v>18</v>
      </c>
      <c r="I65" s="12" t="s">
        <v>80</v>
      </c>
      <c r="J65" s="13" t="s">
        <v>137</v>
      </c>
      <c r="K65" s="14" t="s">
        <v>142</v>
      </c>
      <c r="L65" s="66">
        <v>5</v>
      </c>
      <c r="M65" s="44">
        <v>10</v>
      </c>
      <c r="N65" s="43" t="s">
        <v>18</v>
      </c>
      <c r="O65" s="38">
        <v>7.0000000000000007E-2</v>
      </c>
      <c r="P65" s="40">
        <f t="shared" si="0"/>
        <v>1301.9993489999999</v>
      </c>
      <c r="Q65" s="29">
        <v>100</v>
      </c>
      <c r="R65" s="37">
        <v>0.15</v>
      </c>
      <c r="S65" s="41">
        <f t="shared" si="1"/>
        <v>1189.999405</v>
      </c>
      <c r="T65" s="31">
        <v>500</v>
      </c>
      <c r="U65" s="39">
        <v>0.2</v>
      </c>
      <c r="V65" s="42">
        <f t="shared" si="2"/>
        <v>1119.99944</v>
      </c>
      <c r="W65" s="60">
        <v>1000</v>
      </c>
      <c r="X65" s="61">
        <f t="shared" si="3"/>
        <v>0.25</v>
      </c>
      <c r="Y65" s="62">
        <f t="shared" si="4"/>
        <v>1049.9994750000001</v>
      </c>
    </row>
    <row r="66" spans="1:25" ht="14.25" customHeight="1" x14ac:dyDescent="0.25">
      <c r="A66" s="15">
        <v>3030337</v>
      </c>
      <c r="B66" s="14" t="s">
        <v>143</v>
      </c>
      <c r="C66" s="9">
        <v>2522</v>
      </c>
      <c r="D66" s="10">
        <v>1100.0002999999999</v>
      </c>
      <c r="E66" s="34">
        <v>935.00000034000004</v>
      </c>
      <c r="F66" s="34">
        <v>1400.0004899999999</v>
      </c>
      <c r="G66" s="11"/>
      <c r="H66" s="12" t="s">
        <v>18</v>
      </c>
      <c r="I66" s="12" t="s">
        <v>80</v>
      </c>
      <c r="J66" s="13" t="s">
        <v>137</v>
      </c>
      <c r="K66" s="14" t="s">
        <v>144</v>
      </c>
      <c r="L66" s="66">
        <v>5</v>
      </c>
      <c r="M66" s="44">
        <v>10</v>
      </c>
      <c r="N66" s="43" t="s">
        <v>18</v>
      </c>
      <c r="O66" s="38">
        <v>7.0000000000000007E-2</v>
      </c>
      <c r="P66" s="40">
        <f t="shared" si="0"/>
        <v>1302.0004557</v>
      </c>
      <c r="Q66" s="29">
        <v>100</v>
      </c>
      <c r="R66" s="37">
        <v>0.15</v>
      </c>
      <c r="S66" s="41">
        <f t="shared" si="1"/>
        <v>1190.0004165</v>
      </c>
      <c r="T66" s="31">
        <v>500</v>
      </c>
      <c r="U66" s="39">
        <v>0.2</v>
      </c>
      <c r="V66" s="42">
        <f t="shared" si="2"/>
        <v>1120.0003919999999</v>
      </c>
      <c r="W66" s="60">
        <v>1000</v>
      </c>
      <c r="X66" s="61">
        <f t="shared" si="3"/>
        <v>0.25</v>
      </c>
      <c r="Y66" s="62">
        <f t="shared" si="4"/>
        <v>1050.0003674999998</v>
      </c>
    </row>
    <row r="67" spans="1:25" ht="14.25" customHeight="1" x14ac:dyDescent="0.25">
      <c r="A67" s="15">
        <v>3030283</v>
      </c>
      <c r="B67" s="14" t="s">
        <v>145</v>
      </c>
      <c r="C67" s="9">
        <v>149</v>
      </c>
      <c r="D67" s="10">
        <v>1100.0002999999999</v>
      </c>
      <c r="E67" s="34">
        <v>935.00000034000004</v>
      </c>
      <c r="F67" s="34">
        <v>1399.9992999999999</v>
      </c>
      <c r="G67" s="11"/>
      <c r="H67" s="12" t="s">
        <v>18</v>
      </c>
      <c r="I67" s="12" t="s">
        <v>80</v>
      </c>
      <c r="J67" s="13" t="s">
        <v>137</v>
      </c>
      <c r="K67" s="14" t="s">
        <v>146</v>
      </c>
      <c r="L67" s="66">
        <v>5</v>
      </c>
      <c r="M67" s="44">
        <v>10</v>
      </c>
      <c r="N67" s="43" t="s">
        <v>18</v>
      </c>
      <c r="O67" s="38">
        <v>7.0000000000000007E-2</v>
      </c>
      <c r="P67" s="40">
        <f t="shared" si="0"/>
        <v>1301.9993489999999</v>
      </c>
      <c r="Q67" s="29">
        <v>100</v>
      </c>
      <c r="R67" s="37">
        <v>0.15</v>
      </c>
      <c r="S67" s="41">
        <f t="shared" si="1"/>
        <v>1189.999405</v>
      </c>
      <c r="T67" s="31">
        <v>500</v>
      </c>
      <c r="U67" s="39">
        <v>0.2</v>
      </c>
      <c r="V67" s="42">
        <f t="shared" si="2"/>
        <v>1119.99944</v>
      </c>
      <c r="W67" s="60">
        <v>1000</v>
      </c>
      <c r="X67" s="61">
        <f t="shared" si="3"/>
        <v>0.25</v>
      </c>
      <c r="Y67" s="62">
        <f t="shared" si="4"/>
        <v>1049.9994750000001</v>
      </c>
    </row>
    <row r="68" spans="1:25" ht="14.25" customHeight="1" x14ac:dyDescent="0.25">
      <c r="A68" s="15">
        <v>3030282</v>
      </c>
      <c r="B68" s="14" t="s">
        <v>147</v>
      </c>
      <c r="C68" s="9">
        <v>48054</v>
      </c>
      <c r="D68" s="10">
        <v>1000.0046</v>
      </c>
      <c r="E68" s="34">
        <v>899.99699999999996</v>
      </c>
      <c r="F68" s="34">
        <v>1300.0036</v>
      </c>
      <c r="G68" s="11"/>
      <c r="H68" s="12" t="s">
        <v>18</v>
      </c>
      <c r="I68" s="12" t="s">
        <v>80</v>
      </c>
      <c r="J68" s="13" t="s">
        <v>137</v>
      </c>
      <c r="K68" s="14" t="s">
        <v>148</v>
      </c>
      <c r="L68" s="66">
        <v>5</v>
      </c>
      <c r="M68" s="44">
        <v>10</v>
      </c>
      <c r="N68" s="43" t="s">
        <v>18</v>
      </c>
      <c r="O68" s="38">
        <v>7.0000000000000007E-2</v>
      </c>
      <c r="P68" s="40">
        <f t="shared" si="0"/>
        <v>1209.003348</v>
      </c>
      <c r="Q68" s="29">
        <v>100</v>
      </c>
      <c r="R68" s="37">
        <v>0.15</v>
      </c>
      <c r="S68" s="41">
        <f t="shared" si="1"/>
        <v>1105.00306</v>
      </c>
      <c r="T68" s="31">
        <v>500</v>
      </c>
      <c r="U68" s="39">
        <v>0.2</v>
      </c>
      <c r="V68" s="42">
        <f t="shared" si="2"/>
        <v>1040.00288</v>
      </c>
      <c r="W68" s="60">
        <v>1000</v>
      </c>
      <c r="X68" s="61">
        <f t="shared" si="3"/>
        <v>0.25</v>
      </c>
      <c r="Y68" s="62">
        <f t="shared" si="4"/>
        <v>975.0027</v>
      </c>
    </row>
    <row r="69" spans="1:25" ht="14.25" customHeight="1" x14ac:dyDescent="0.25">
      <c r="A69" s="15">
        <v>3030284</v>
      </c>
      <c r="B69" s="14" t="s">
        <v>149</v>
      </c>
      <c r="C69" s="9">
        <v>3605</v>
      </c>
      <c r="D69" s="10">
        <v>1100.0002999999999</v>
      </c>
      <c r="E69" s="34">
        <v>932.99999947000003</v>
      </c>
      <c r="F69" s="34">
        <v>1399.9992999999999</v>
      </c>
      <c r="G69" s="11"/>
      <c r="H69" s="12" t="s">
        <v>18</v>
      </c>
      <c r="I69" s="12" t="s">
        <v>80</v>
      </c>
      <c r="J69" s="13" t="s">
        <v>137</v>
      </c>
      <c r="K69" s="14" t="s">
        <v>150</v>
      </c>
      <c r="L69" s="66">
        <v>5</v>
      </c>
      <c r="M69" s="44">
        <v>10</v>
      </c>
      <c r="N69" s="43" t="s">
        <v>18</v>
      </c>
      <c r="O69" s="38">
        <v>7.0000000000000007E-2</v>
      </c>
      <c r="P69" s="40">
        <f t="shared" ref="P69:P132" si="5">F69-(F69*O69)</f>
        <v>1301.9993489999999</v>
      </c>
      <c r="Q69" s="29">
        <v>100</v>
      </c>
      <c r="R69" s="37">
        <v>0.15</v>
      </c>
      <c r="S69" s="41">
        <f t="shared" ref="S69:S132" si="6">F69-(F69*R69)</f>
        <v>1189.999405</v>
      </c>
      <c r="T69" s="31">
        <v>500</v>
      </c>
      <c r="U69" s="39">
        <v>0.2</v>
      </c>
      <c r="V69" s="42">
        <f t="shared" ref="V69:V132" si="7">F69-(F69*U69)</f>
        <v>1119.99944</v>
      </c>
      <c r="W69" s="60">
        <v>1000</v>
      </c>
      <c r="X69" s="61">
        <f t="shared" ref="X69:X132" si="8">X68</f>
        <v>0.25</v>
      </c>
      <c r="Y69" s="62">
        <f t="shared" ref="Y69:Y132" si="9">F69-(F69*X69)</f>
        <v>1049.9994750000001</v>
      </c>
    </row>
    <row r="70" spans="1:25" ht="14.25" customHeight="1" x14ac:dyDescent="0.25">
      <c r="A70" s="15">
        <v>3030336</v>
      </c>
      <c r="B70" s="14" t="s">
        <v>151</v>
      </c>
      <c r="C70" s="9">
        <v>998</v>
      </c>
      <c r="D70" s="10">
        <v>1100.0002999999999</v>
      </c>
      <c r="E70" s="34">
        <v>932.99999947000003</v>
      </c>
      <c r="F70" s="34">
        <v>1399.9992999999999</v>
      </c>
      <c r="G70" s="11"/>
      <c r="H70" s="12" t="s">
        <v>18</v>
      </c>
      <c r="I70" s="12" t="s">
        <v>80</v>
      </c>
      <c r="J70" s="13" t="s">
        <v>137</v>
      </c>
      <c r="K70" s="14" t="s">
        <v>152</v>
      </c>
      <c r="L70" s="66">
        <v>5</v>
      </c>
      <c r="M70" s="44">
        <v>10</v>
      </c>
      <c r="N70" s="43" t="s">
        <v>18</v>
      </c>
      <c r="O70" s="38">
        <v>7.0000000000000007E-2</v>
      </c>
      <c r="P70" s="40">
        <f t="shared" si="5"/>
        <v>1301.9993489999999</v>
      </c>
      <c r="Q70" s="29">
        <v>100</v>
      </c>
      <c r="R70" s="37">
        <v>0.15</v>
      </c>
      <c r="S70" s="41">
        <f t="shared" si="6"/>
        <v>1189.999405</v>
      </c>
      <c r="T70" s="31">
        <v>500</v>
      </c>
      <c r="U70" s="39">
        <v>0.2</v>
      </c>
      <c r="V70" s="42">
        <f t="shared" si="7"/>
        <v>1119.99944</v>
      </c>
      <c r="W70" s="60">
        <v>1000</v>
      </c>
      <c r="X70" s="61">
        <f t="shared" si="8"/>
        <v>0.25</v>
      </c>
      <c r="Y70" s="62">
        <f t="shared" si="9"/>
        <v>1049.9994750000001</v>
      </c>
    </row>
    <row r="71" spans="1:25" ht="14.25" customHeight="1" x14ac:dyDescent="0.25">
      <c r="A71" s="15">
        <v>3030428</v>
      </c>
      <c r="B71" s="14" t="s">
        <v>153</v>
      </c>
      <c r="C71" s="9">
        <v>11542</v>
      </c>
      <c r="D71" s="10">
        <v>1349.9955</v>
      </c>
      <c r="E71" s="34">
        <v>1255.4999800000001</v>
      </c>
      <c r="F71" s="34">
        <v>1499.9997599999999</v>
      </c>
      <c r="G71" s="11"/>
      <c r="H71" s="12" t="s">
        <v>18</v>
      </c>
      <c r="I71" s="12" t="s">
        <v>80</v>
      </c>
      <c r="J71" s="13" t="s">
        <v>137</v>
      </c>
      <c r="K71" s="14" t="s">
        <v>154</v>
      </c>
      <c r="L71" s="66">
        <v>5</v>
      </c>
      <c r="M71" s="44">
        <v>10</v>
      </c>
      <c r="N71" s="43" t="s">
        <v>18</v>
      </c>
      <c r="O71" s="38">
        <v>7.0000000000000007E-2</v>
      </c>
      <c r="P71" s="40">
        <f t="shared" si="5"/>
        <v>1394.9997767999998</v>
      </c>
      <c r="Q71" s="29">
        <v>100</v>
      </c>
      <c r="R71" s="37">
        <v>0.15</v>
      </c>
      <c r="S71" s="41">
        <f t="shared" si="6"/>
        <v>1274.9997960000001</v>
      </c>
      <c r="T71" s="31">
        <v>500</v>
      </c>
      <c r="U71" s="39">
        <v>0.2</v>
      </c>
      <c r="V71" s="42">
        <f t="shared" si="7"/>
        <v>1199.999808</v>
      </c>
      <c r="W71" s="60">
        <v>1000</v>
      </c>
      <c r="X71" s="61">
        <f t="shared" si="8"/>
        <v>0.25</v>
      </c>
      <c r="Y71" s="62">
        <f t="shared" si="9"/>
        <v>1124.99982</v>
      </c>
    </row>
    <row r="72" spans="1:25" ht="14.25" customHeight="1" x14ac:dyDescent="0.25">
      <c r="A72" s="15">
        <v>3030286</v>
      </c>
      <c r="B72" s="14" t="s">
        <v>155</v>
      </c>
      <c r="C72" s="9">
        <v>0</v>
      </c>
      <c r="D72" s="10">
        <v>1100.0002999999999</v>
      </c>
      <c r="E72" s="34">
        <v>999.99999946000003</v>
      </c>
      <c r="F72" s="34">
        <v>1399.44</v>
      </c>
      <c r="G72" s="11"/>
      <c r="H72" s="12" t="s">
        <v>18</v>
      </c>
      <c r="I72" s="12" t="s">
        <v>80</v>
      </c>
      <c r="J72" s="13" t="s">
        <v>137</v>
      </c>
      <c r="K72" s="14" t="s">
        <v>156</v>
      </c>
      <c r="L72" s="66">
        <v>5</v>
      </c>
      <c r="M72" s="44">
        <v>10</v>
      </c>
      <c r="N72" s="43" t="s">
        <v>18</v>
      </c>
      <c r="O72" s="38">
        <v>7.0000000000000007E-2</v>
      </c>
      <c r="P72" s="40">
        <f t="shared" si="5"/>
        <v>1301.4792</v>
      </c>
      <c r="Q72" s="29">
        <v>100</v>
      </c>
      <c r="R72" s="37">
        <v>0.15</v>
      </c>
      <c r="S72" s="41">
        <f t="shared" si="6"/>
        <v>1189.5240000000001</v>
      </c>
      <c r="T72" s="31">
        <v>500</v>
      </c>
      <c r="U72" s="39">
        <v>0.2</v>
      </c>
      <c r="V72" s="42">
        <f t="shared" si="7"/>
        <v>1119.5520000000001</v>
      </c>
      <c r="W72" s="60">
        <v>1000</v>
      </c>
      <c r="X72" s="61">
        <f t="shared" si="8"/>
        <v>0.25</v>
      </c>
      <c r="Y72" s="62">
        <f t="shared" si="9"/>
        <v>1049.58</v>
      </c>
    </row>
    <row r="73" spans="1:25" ht="14.25" customHeight="1" x14ac:dyDescent="0.25">
      <c r="A73" s="15">
        <v>3030285</v>
      </c>
      <c r="B73" s="14" t="s">
        <v>157</v>
      </c>
      <c r="C73" s="9">
        <v>1879</v>
      </c>
      <c r="D73" s="10">
        <v>1100.0002999999999</v>
      </c>
      <c r="E73" s="34">
        <v>1044.9996900000001</v>
      </c>
      <c r="F73" s="34">
        <v>1400.0004899999999</v>
      </c>
      <c r="G73" s="11"/>
      <c r="H73" s="12" t="s">
        <v>18</v>
      </c>
      <c r="I73" s="12" t="s">
        <v>80</v>
      </c>
      <c r="J73" s="13" t="s">
        <v>137</v>
      </c>
      <c r="K73" s="14" t="s">
        <v>158</v>
      </c>
      <c r="L73" s="66">
        <v>5</v>
      </c>
      <c r="M73" s="44">
        <v>10</v>
      </c>
      <c r="N73" s="43" t="s">
        <v>18</v>
      </c>
      <c r="O73" s="38">
        <v>7.0000000000000007E-2</v>
      </c>
      <c r="P73" s="40">
        <f t="shared" si="5"/>
        <v>1302.0004557</v>
      </c>
      <c r="Q73" s="29">
        <v>100</v>
      </c>
      <c r="R73" s="37">
        <v>0.15</v>
      </c>
      <c r="S73" s="41">
        <f t="shared" si="6"/>
        <v>1190.0004165</v>
      </c>
      <c r="T73" s="31">
        <v>500</v>
      </c>
      <c r="U73" s="39">
        <v>0.2</v>
      </c>
      <c r="V73" s="42">
        <f t="shared" si="7"/>
        <v>1120.0003919999999</v>
      </c>
      <c r="W73" s="60">
        <v>1000</v>
      </c>
      <c r="X73" s="61">
        <f t="shared" si="8"/>
        <v>0.25</v>
      </c>
      <c r="Y73" s="62">
        <f t="shared" si="9"/>
        <v>1050.0003674999998</v>
      </c>
    </row>
    <row r="74" spans="1:25" ht="14.25" customHeight="1" x14ac:dyDescent="0.25">
      <c r="A74" s="15">
        <v>3030298</v>
      </c>
      <c r="B74" s="14" t="s">
        <v>159</v>
      </c>
      <c r="C74" s="9">
        <v>5639</v>
      </c>
      <c r="D74" s="10">
        <v>1100.0002999999999</v>
      </c>
      <c r="E74" s="34">
        <v>913.00000029</v>
      </c>
      <c r="F74" s="34">
        <v>1399.9992999999999</v>
      </c>
      <c r="G74" s="11"/>
      <c r="H74" s="12" t="s">
        <v>18</v>
      </c>
      <c r="I74" s="12" t="s">
        <v>80</v>
      </c>
      <c r="J74" s="13" t="s">
        <v>137</v>
      </c>
      <c r="K74" s="14" t="s">
        <v>160</v>
      </c>
      <c r="L74" s="66">
        <v>5</v>
      </c>
      <c r="M74" s="44">
        <v>10</v>
      </c>
      <c r="N74" s="43" t="s">
        <v>18</v>
      </c>
      <c r="O74" s="38">
        <v>7.0000000000000007E-2</v>
      </c>
      <c r="P74" s="40">
        <f t="shared" si="5"/>
        <v>1301.9993489999999</v>
      </c>
      <c r="Q74" s="29">
        <v>100</v>
      </c>
      <c r="R74" s="37">
        <v>0.15</v>
      </c>
      <c r="S74" s="41">
        <f t="shared" si="6"/>
        <v>1189.999405</v>
      </c>
      <c r="T74" s="31">
        <v>500</v>
      </c>
      <c r="U74" s="39">
        <v>0.2</v>
      </c>
      <c r="V74" s="42">
        <f t="shared" si="7"/>
        <v>1119.99944</v>
      </c>
      <c r="W74" s="60">
        <v>1000</v>
      </c>
      <c r="X74" s="61">
        <f t="shared" si="8"/>
        <v>0.25</v>
      </c>
      <c r="Y74" s="62">
        <f t="shared" si="9"/>
        <v>1049.9994750000001</v>
      </c>
    </row>
    <row r="75" spans="1:25" ht="14.25" customHeight="1" x14ac:dyDescent="0.25">
      <c r="A75" s="15">
        <v>3030339</v>
      </c>
      <c r="B75" s="14" t="s">
        <v>161</v>
      </c>
      <c r="C75" s="9">
        <v>2008</v>
      </c>
      <c r="D75" s="10">
        <v>1100.0002999999999</v>
      </c>
      <c r="E75" s="34">
        <v>935.00000034000004</v>
      </c>
      <c r="F75" s="34">
        <v>1400.0004899999999</v>
      </c>
      <c r="G75" s="11"/>
      <c r="H75" s="12" t="s">
        <v>18</v>
      </c>
      <c r="I75" s="12" t="s">
        <v>80</v>
      </c>
      <c r="J75" s="13" t="s">
        <v>137</v>
      </c>
      <c r="K75" s="14" t="s">
        <v>162</v>
      </c>
      <c r="L75" s="66">
        <v>5</v>
      </c>
      <c r="M75" s="44">
        <v>10</v>
      </c>
      <c r="N75" s="43" t="s">
        <v>18</v>
      </c>
      <c r="O75" s="38">
        <v>7.0000000000000007E-2</v>
      </c>
      <c r="P75" s="40">
        <f t="shared" si="5"/>
        <v>1302.0004557</v>
      </c>
      <c r="Q75" s="29">
        <v>100</v>
      </c>
      <c r="R75" s="37">
        <v>0.15</v>
      </c>
      <c r="S75" s="41">
        <f t="shared" si="6"/>
        <v>1190.0004165</v>
      </c>
      <c r="T75" s="31">
        <v>500</v>
      </c>
      <c r="U75" s="39">
        <v>0.2</v>
      </c>
      <c r="V75" s="42">
        <f t="shared" si="7"/>
        <v>1120.0003919999999</v>
      </c>
      <c r="W75" s="60">
        <v>1000</v>
      </c>
      <c r="X75" s="61">
        <f t="shared" si="8"/>
        <v>0.25</v>
      </c>
      <c r="Y75" s="62">
        <f t="shared" si="9"/>
        <v>1050.0003674999998</v>
      </c>
    </row>
    <row r="76" spans="1:25" ht="14.25" customHeight="1" x14ac:dyDescent="0.25">
      <c r="A76" s="15">
        <v>3030295</v>
      </c>
      <c r="B76" s="14" t="s">
        <v>163</v>
      </c>
      <c r="C76" s="9">
        <v>0</v>
      </c>
      <c r="D76" s="10">
        <v>1100.0002999999999</v>
      </c>
      <c r="E76" s="34">
        <v>935.00000034000004</v>
      </c>
      <c r="F76" s="34">
        <v>1399.44</v>
      </c>
      <c r="G76" s="11"/>
      <c r="H76" s="12" t="s">
        <v>18</v>
      </c>
      <c r="I76" s="12" t="s">
        <v>80</v>
      </c>
      <c r="J76" s="13" t="s">
        <v>137</v>
      </c>
      <c r="K76" s="14" t="s">
        <v>164</v>
      </c>
      <c r="L76" s="66">
        <v>5</v>
      </c>
      <c r="M76" s="44">
        <v>10</v>
      </c>
      <c r="N76" s="43" t="s">
        <v>18</v>
      </c>
      <c r="O76" s="38">
        <v>7.0000000000000007E-2</v>
      </c>
      <c r="P76" s="40">
        <f t="shared" si="5"/>
        <v>1301.4792</v>
      </c>
      <c r="Q76" s="29">
        <v>100</v>
      </c>
      <c r="R76" s="37">
        <v>0.15</v>
      </c>
      <c r="S76" s="41">
        <f t="shared" si="6"/>
        <v>1189.5240000000001</v>
      </c>
      <c r="T76" s="31">
        <v>500</v>
      </c>
      <c r="U76" s="39">
        <v>0.2</v>
      </c>
      <c r="V76" s="42">
        <f t="shared" si="7"/>
        <v>1119.5520000000001</v>
      </c>
      <c r="W76" s="60">
        <v>1000</v>
      </c>
      <c r="X76" s="61">
        <f t="shared" si="8"/>
        <v>0.25</v>
      </c>
      <c r="Y76" s="62">
        <f t="shared" si="9"/>
        <v>1049.58</v>
      </c>
    </row>
    <row r="77" spans="1:25" ht="14.25" customHeight="1" x14ac:dyDescent="0.25">
      <c r="A77" s="15">
        <v>3030294</v>
      </c>
      <c r="B77" s="14" t="s">
        <v>165</v>
      </c>
      <c r="C77" s="9">
        <v>1941</v>
      </c>
      <c r="D77" s="10">
        <v>1100.0002999999999</v>
      </c>
      <c r="E77" s="34">
        <v>1023.0001600000001</v>
      </c>
      <c r="F77" s="34">
        <v>1400.0004899999999</v>
      </c>
      <c r="G77" s="11"/>
      <c r="H77" s="12" t="s">
        <v>18</v>
      </c>
      <c r="I77" s="12" t="s">
        <v>80</v>
      </c>
      <c r="J77" s="13" t="s">
        <v>137</v>
      </c>
      <c r="K77" s="14" t="s">
        <v>166</v>
      </c>
      <c r="L77" s="66">
        <v>5</v>
      </c>
      <c r="M77" s="44">
        <v>10</v>
      </c>
      <c r="N77" s="43" t="s">
        <v>18</v>
      </c>
      <c r="O77" s="38">
        <v>7.0000000000000007E-2</v>
      </c>
      <c r="P77" s="40">
        <f t="shared" si="5"/>
        <v>1302.0004557</v>
      </c>
      <c r="Q77" s="29">
        <v>100</v>
      </c>
      <c r="R77" s="37">
        <v>0.15</v>
      </c>
      <c r="S77" s="41">
        <f t="shared" si="6"/>
        <v>1190.0004165</v>
      </c>
      <c r="T77" s="31">
        <v>500</v>
      </c>
      <c r="U77" s="39">
        <v>0.2</v>
      </c>
      <c r="V77" s="42">
        <f t="shared" si="7"/>
        <v>1120.0003919999999</v>
      </c>
      <c r="W77" s="60">
        <v>1000</v>
      </c>
      <c r="X77" s="61">
        <f t="shared" si="8"/>
        <v>0.25</v>
      </c>
      <c r="Y77" s="62">
        <f t="shared" si="9"/>
        <v>1050.0003674999998</v>
      </c>
    </row>
    <row r="78" spans="1:25" ht="14.25" customHeight="1" x14ac:dyDescent="0.25">
      <c r="A78" s="15">
        <v>3030296</v>
      </c>
      <c r="B78" s="14" t="s">
        <v>167</v>
      </c>
      <c r="C78" s="9">
        <v>500</v>
      </c>
      <c r="D78" s="10">
        <v>1100.0002999999999</v>
      </c>
      <c r="E78" s="34">
        <v>932.99999947000003</v>
      </c>
      <c r="F78" s="34">
        <v>1399.9992999999999</v>
      </c>
      <c r="G78" s="11"/>
      <c r="H78" s="12" t="s">
        <v>18</v>
      </c>
      <c r="I78" s="12" t="s">
        <v>80</v>
      </c>
      <c r="J78" s="13" t="s">
        <v>137</v>
      </c>
      <c r="K78" s="14" t="s">
        <v>168</v>
      </c>
      <c r="L78" s="66">
        <v>5</v>
      </c>
      <c r="M78" s="44">
        <v>10</v>
      </c>
      <c r="N78" s="43" t="s">
        <v>18</v>
      </c>
      <c r="O78" s="38">
        <v>7.0000000000000007E-2</v>
      </c>
      <c r="P78" s="40">
        <f t="shared" si="5"/>
        <v>1301.9993489999999</v>
      </c>
      <c r="Q78" s="29">
        <v>100</v>
      </c>
      <c r="R78" s="37">
        <v>0.15</v>
      </c>
      <c r="S78" s="41">
        <f t="shared" si="6"/>
        <v>1189.999405</v>
      </c>
      <c r="T78" s="31">
        <v>500</v>
      </c>
      <c r="U78" s="39">
        <v>0.2</v>
      </c>
      <c r="V78" s="42">
        <f t="shared" si="7"/>
        <v>1119.99944</v>
      </c>
      <c r="W78" s="60">
        <v>1000</v>
      </c>
      <c r="X78" s="61">
        <f t="shared" si="8"/>
        <v>0.25</v>
      </c>
      <c r="Y78" s="62">
        <f t="shared" si="9"/>
        <v>1049.9994750000001</v>
      </c>
    </row>
    <row r="79" spans="1:25" ht="14.25" customHeight="1" x14ac:dyDescent="0.25">
      <c r="A79" s="15">
        <v>3030338</v>
      </c>
      <c r="B79" s="14" t="s">
        <v>169</v>
      </c>
      <c r="C79" s="9">
        <v>1460</v>
      </c>
      <c r="D79" s="10">
        <v>1100.0002999999999</v>
      </c>
      <c r="E79" s="34">
        <v>1044.9996900000001</v>
      </c>
      <c r="F79" s="34">
        <v>1400.0004899999999</v>
      </c>
      <c r="G79" s="11"/>
      <c r="H79" s="12" t="s">
        <v>18</v>
      </c>
      <c r="I79" s="12" t="s">
        <v>80</v>
      </c>
      <c r="J79" s="13" t="s">
        <v>137</v>
      </c>
      <c r="K79" s="14" t="s">
        <v>170</v>
      </c>
      <c r="L79" s="66">
        <v>5</v>
      </c>
      <c r="M79" s="44">
        <v>10</v>
      </c>
      <c r="N79" s="43" t="s">
        <v>18</v>
      </c>
      <c r="O79" s="38">
        <v>7.0000000000000007E-2</v>
      </c>
      <c r="P79" s="40">
        <f t="shared" si="5"/>
        <v>1302.0004557</v>
      </c>
      <c r="Q79" s="29">
        <v>100</v>
      </c>
      <c r="R79" s="37">
        <v>0.15</v>
      </c>
      <c r="S79" s="41">
        <f t="shared" si="6"/>
        <v>1190.0004165</v>
      </c>
      <c r="T79" s="31">
        <v>500</v>
      </c>
      <c r="U79" s="39">
        <v>0.2</v>
      </c>
      <c r="V79" s="42">
        <f t="shared" si="7"/>
        <v>1120.0003919999999</v>
      </c>
      <c r="W79" s="60">
        <v>1000</v>
      </c>
      <c r="X79" s="61">
        <f t="shared" si="8"/>
        <v>0.25</v>
      </c>
      <c r="Y79" s="62">
        <f t="shared" si="9"/>
        <v>1050.0003674999998</v>
      </c>
    </row>
    <row r="80" spans="1:25" ht="14.25" customHeight="1" x14ac:dyDescent="0.25">
      <c r="A80" s="15">
        <v>3030297</v>
      </c>
      <c r="B80" s="14" t="s">
        <v>171</v>
      </c>
      <c r="C80" s="9">
        <v>1415</v>
      </c>
      <c r="D80" s="10">
        <v>1100.0002999999999</v>
      </c>
      <c r="E80" s="34">
        <v>935.00000034000004</v>
      </c>
      <c r="F80" s="34">
        <v>1400.0004899999999</v>
      </c>
      <c r="G80" s="11"/>
      <c r="H80" s="12" t="s">
        <v>18</v>
      </c>
      <c r="I80" s="12" t="s">
        <v>80</v>
      </c>
      <c r="J80" s="13" t="s">
        <v>137</v>
      </c>
      <c r="K80" s="14" t="s">
        <v>172</v>
      </c>
      <c r="L80" s="66">
        <v>5</v>
      </c>
      <c r="M80" s="44">
        <v>10</v>
      </c>
      <c r="N80" s="43" t="s">
        <v>18</v>
      </c>
      <c r="O80" s="38">
        <v>7.0000000000000007E-2</v>
      </c>
      <c r="P80" s="40">
        <f t="shared" si="5"/>
        <v>1302.0004557</v>
      </c>
      <c r="Q80" s="29">
        <v>100</v>
      </c>
      <c r="R80" s="37">
        <v>0.15</v>
      </c>
      <c r="S80" s="41">
        <f t="shared" si="6"/>
        <v>1190.0004165</v>
      </c>
      <c r="T80" s="31">
        <v>500</v>
      </c>
      <c r="U80" s="39">
        <v>0.2</v>
      </c>
      <c r="V80" s="42">
        <f t="shared" si="7"/>
        <v>1120.0003919999999</v>
      </c>
      <c r="W80" s="60">
        <v>1000</v>
      </c>
      <c r="X80" s="61">
        <f t="shared" si="8"/>
        <v>0.25</v>
      </c>
      <c r="Y80" s="62">
        <f t="shared" si="9"/>
        <v>1050.0003674999998</v>
      </c>
    </row>
    <row r="81" spans="1:25" ht="14.25" customHeight="1" x14ac:dyDescent="0.25">
      <c r="A81" s="15">
        <v>3032037</v>
      </c>
      <c r="B81" s="14" t="s">
        <v>173</v>
      </c>
      <c r="C81" s="9">
        <v>1533</v>
      </c>
      <c r="D81" s="10">
        <v>899.99699999999996</v>
      </c>
      <c r="E81" s="34">
        <v>854.99953000000005</v>
      </c>
      <c r="F81" s="34">
        <v>1199.9995699999999</v>
      </c>
      <c r="G81" s="11">
        <v>855.61</v>
      </c>
      <c r="H81" s="12" t="s">
        <v>18</v>
      </c>
      <c r="I81" s="12" t="s">
        <v>174</v>
      </c>
      <c r="J81" s="13" t="s">
        <v>175</v>
      </c>
      <c r="K81" s="14" t="s">
        <v>176</v>
      </c>
      <c r="L81" s="66">
        <v>5</v>
      </c>
      <c r="M81" s="44">
        <v>10</v>
      </c>
      <c r="N81" s="43" t="s">
        <v>18</v>
      </c>
      <c r="O81" s="38">
        <v>7.0000000000000007E-2</v>
      </c>
      <c r="P81" s="40">
        <f t="shared" si="5"/>
        <v>1115.9996001</v>
      </c>
      <c r="Q81" s="29">
        <v>100</v>
      </c>
      <c r="R81" s="37">
        <v>0.15</v>
      </c>
      <c r="S81" s="41">
        <f t="shared" si="6"/>
        <v>1019.9996345</v>
      </c>
      <c r="T81" s="31">
        <v>500</v>
      </c>
      <c r="U81" s="39">
        <v>0.2</v>
      </c>
      <c r="V81" s="42">
        <f t="shared" si="7"/>
        <v>959.99965599999996</v>
      </c>
      <c r="W81" s="60">
        <v>1000</v>
      </c>
      <c r="X81" s="61">
        <f t="shared" si="8"/>
        <v>0.25</v>
      </c>
      <c r="Y81" s="62">
        <f t="shared" si="9"/>
        <v>899.99967749999996</v>
      </c>
    </row>
    <row r="82" spans="1:25" ht="14.25" customHeight="1" x14ac:dyDescent="0.25">
      <c r="A82" s="15">
        <v>3030316</v>
      </c>
      <c r="B82" s="14" t="s">
        <v>177</v>
      </c>
      <c r="C82" s="9">
        <v>6</v>
      </c>
      <c r="D82" s="10">
        <v>749.99749999999995</v>
      </c>
      <c r="E82" s="34">
        <v>675.00369999999998</v>
      </c>
      <c r="F82" s="34">
        <v>899.99699999999996</v>
      </c>
      <c r="G82" s="11"/>
      <c r="H82" s="12" t="s">
        <v>18</v>
      </c>
      <c r="I82" s="12" t="s">
        <v>80</v>
      </c>
      <c r="J82" s="13" t="s">
        <v>137</v>
      </c>
      <c r="K82" s="14" t="s">
        <v>178</v>
      </c>
      <c r="L82" s="66">
        <v>5</v>
      </c>
      <c r="M82" s="44">
        <v>10</v>
      </c>
      <c r="N82" s="43" t="s">
        <v>18</v>
      </c>
      <c r="O82" s="38">
        <v>7.0000000000000007E-2</v>
      </c>
      <c r="P82" s="40">
        <f t="shared" si="5"/>
        <v>836.99721</v>
      </c>
      <c r="Q82" s="29">
        <v>100</v>
      </c>
      <c r="R82" s="37">
        <v>0.15</v>
      </c>
      <c r="S82" s="41">
        <f t="shared" si="6"/>
        <v>764.99744999999996</v>
      </c>
      <c r="T82" s="31">
        <v>500</v>
      </c>
      <c r="U82" s="39">
        <v>0.2</v>
      </c>
      <c r="V82" s="42">
        <f t="shared" si="7"/>
        <v>719.99759999999992</v>
      </c>
      <c r="W82" s="60">
        <v>1000</v>
      </c>
      <c r="X82" s="61">
        <f t="shared" si="8"/>
        <v>0.25</v>
      </c>
      <c r="Y82" s="62">
        <f t="shared" si="9"/>
        <v>674.99775</v>
      </c>
    </row>
    <row r="83" spans="1:25" ht="14.25" customHeight="1" x14ac:dyDescent="0.25">
      <c r="A83" s="15">
        <v>3030378</v>
      </c>
      <c r="B83" s="14" t="s">
        <v>179</v>
      </c>
      <c r="C83" s="9">
        <v>4534</v>
      </c>
      <c r="D83" s="10">
        <v>749.99749999999995</v>
      </c>
      <c r="E83" s="34">
        <v>675.00013000000001</v>
      </c>
      <c r="F83" s="34">
        <v>900.00057000000004</v>
      </c>
      <c r="G83" s="11"/>
      <c r="H83" s="12" t="s">
        <v>18</v>
      </c>
      <c r="I83" s="12" t="s">
        <v>80</v>
      </c>
      <c r="J83" s="13" t="s">
        <v>137</v>
      </c>
      <c r="K83" s="14" t="s">
        <v>180</v>
      </c>
      <c r="L83" s="66">
        <v>5</v>
      </c>
      <c r="M83" s="44">
        <v>10</v>
      </c>
      <c r="N83" s="43" t="s">
        <v>18</v>
      </c>
      <c r="O83" s="38">
        <v>7.0000000000000007E-2</v>
      </c>
      <c r="P83" s="40">
        <f t="shared" si="5"/>
        <v>837.00053009999999</v>
      </c>
      <c r="Q83" s="29">
        <v>100</v>
      </c>
      <c r="R83" s="37">
        <v>0.15</v>
      </c>
      <c r="S83" s="41">
        <f t="shared" si="6"/>
        <v>765.00048450000008</v>
      </c>
      <c r="T83" s="31">
        <v>500</v>
      </c>
      <c r="U83" s="39">
        <v>0.2</v>
      </c>
      <c r="V83" s="42">
        <f t="shared" si="7"/>
        <v>720.00045599999999</v>
      </c>
      <c r="W83" s="60">
        <v>1000</v>
      </c>
      <c r="X83" s="61">
        <f t="shared" si="8"/>
        <v>0.25</v>
      </c>
      <c r="Y83" s="62">
        <f t="shared" si="9"/>
        <v>675.0004275</v>
      </c>
    </row>
    <row r="84" spans="1:25" ht="14.25" customHeight="1" x14ac:dyDescent="0.25">
      <c r="A84" s="15">
        <v>3030427</v>
      </c>
      <c r="B84" s="14" t="s">
        <v>181</v>
      </c>
      <c r="C84" s="9">
        <v>6800</v>
      </c>
      <c r="D84" s="10">
        <v>749.99749999999995</v>
      </c>
      <c r="E84" s="34">
        <v>683.00000020000004</v>
      </c>
      <c r="F84" s="34">
        <v>899.99999998999999</v>
      </c>
      <c r="G84" s="11"/>
      <c r="H84" s="12" t="s">
        <v>18</v>
      </c>
      <c r="I84" s="12" t="s">
        <v>80</v>
      </c>
      <c r="J84" s="13" t="s">
        <v>137</v>
      </c>
      <c r="K84" s="14" t="s">
        <v>182</v>
      </c>
      <c r="L84" s="66">
        <v>5</v>
      </c>
      <c r="M84" s="44">
        <v>10</v>
      </c>
      <c r="N84" s="43" t="s">
        <v>18</v>
      </c>
      <c r="O84" s="38">
        <v>7.0000000000000007E-2</v>
      </c>
      <c r="P84" s="40">
        <f t="shared" si="5"/>
        <v>836.99999999069996</v>
      </c>
      <c r="Q84" s="29">
        <v>100</v>
      </c>
      <c r="R84" s="37">
        <v>0.15</v>
      </c>
      <c r="S84" s="41">
        <f t="shared" si="6"/>
        <v>764.99999999149998</v>
      </c>
      <c r="T84" s="31">
        <v>500</v>
      </c>
      <c r="U84" s="39">
        <v>0.2</v>
      </c>
      <c r="V84" s="42">
        <f t="shared" si="7"/>
        <v>719.99999999199997</v>
      </c>
      <c r="W84" s="60">
        <v>1000</v>
      </c>
      <c r="X84" s="61">
        <f t="shared" si="8"/>
        <v>0.25</v>
      </c>
      <c r="Y84" s="62">
        <f t="shared" si="9"/>
        <v>674.99999999249997</v>
      </c>
    </row>
    <row r="85" spans="1:25" ht="14.25" customHeight="1" x14ac:dyDescent="0.25">
      <c r="A85" s="15">
        <v>3030312</v>
      </c>
      <c r="B85" s="14" t="s">
        <v>183</v>
      </c>
      <c r="C85" s="9">
        <v>4172</v>
      </c>
      <c r="D85" s="10">
        <v>850.00509999999997</v>
      </c>
      <c r="E85" s="34">
        <v>808.00000043</v>
      </c>
      <c r="F85" s="34">
        <v>999.6</v>
      </c>
      <c r="G85" s="11"/>
      <c r="H85" s="12" t="s">
        <v>18</v>
      </c>
      <c r="I85" s="12" t="s">
        <v>80</v>
      </c>
      <c r="J85" s="13" t="s">
        <v>137</v>
      </c>
      <c r="K85" s="14" t="s">
        <v>184</v>
      </c>
      <c r="L85" s="66">
        <v>5</v>
      </c>
      <c r="M85" s="44">
        <v>10</v>
      </c>
      <c r="N85" s="43" t="s">
        <v>18</v>
      </c>
      <c r="O85" s="38">
        <v>7.0000000000000007E-2</v>
      </c>
      <c r="P85" s="40">
        <f t="shared" si="5"/>
        <v>929.62800000000004</v>
      </c>
      <c r="Q85" s="29">
        <v>100</v>
      </c>
      <c r="R85" s="37">
        <v>0.15</v>
      </c>
      <c r="S85" s="41">
        <f t="shared" si="6"/>
        <v>849.66000000000008</v>
      </c>
      <c r="T85" s="31">
        <v>500</v>
      </c>
      <c r="U85" s="39">
        <v>0.2</v>
      </c>
      <c r="V85" s="42">
        <f t="shared" si="7"/>
        <v>799.68000000000006</v>
      </c>
      <c r="W85" s="60">
        <v>1000</v>
      </c>
      <c r="X85" s="61">
        <f t="shared" si="8"/>
        <v>0.25</v>
      </c>
      <c r="Y85" s="62">
        <f t="shared" si="9"/>
        <v>749.7</v>
      </c>
    </row>
    <row r="86" spans="1:25" ht="14.25" customHeight="1" x14ac:dyDescent="0.25">
      <c r="A86" s="15">
        <v>3030311</v>
      </c>
      <c r="B86" s="14" t="s">
        <v>185</v>
      </c>
      <c r="C86" s="9">
        <v>8266</v>
      </c>
      <c r="D86" s="10">
        <v>850.00509999999997</v>
      </c>
      <c r="E86" s="34">
        <v>805.99999955999999</v>
      </c>
      <c r="F86" s="34">
        <v>999.6</v>
      </c>
      <c r="G86" s="11"/>
      <c r="H86" s="12" t="s">
        <v>18</v>
      </c>
      <c r="I86" s="12" t="s">
        <v>80</v>
      </c>
      <c r="J86" s="13" t="s">
        <v>137</v>
      </c>
      <c r="K86" s="14" t="s">
        <v>186</v>
      </c>
      <c r="L86" s="66">
        <v>5</v>
      </c>
      <c r="M86" s="44">
        <v>10</v>
      </c>
      <c r="N86" s="43" t="s">
        <v>18</v>
      </c>
      <c r="O86" s="38">
        <v>7.0000000000000007E-2</v>
      </c>
      <c r="P86" s="40">
        <f t="shared" si="5"/>
        <v>929.62800000000004</v>
      </c>
      <c r="Q86" s="29">
        <v>100</v>
      </c>
      <c r="R86" s="37">
        <v>0.15</v>
      </c>
      <c r="S86" s="41">
        <f t="shared" si="6"/>
        <v>849.66000000000008</v>
      </c>
      <c r="T86" s="31">
        <v>500</v>
      </c>
      <c r="U86" s="39">
        <v>0.2</v>
      </c>
      <c r="V86" s="42">
        <f t="shared" si="7"/>
        <v>799.68000000000006</v>
      </c>
      <c r="W86" s="60">
        <v>1000</v>
      </c>
      <c r="X86" s="61">
        <f t="shared" si="8"/>
        <v>0.25</v>
      </c>
      <c r="Y86" s="62">
        <f t="shared" si="9"/>
        <v>749.7</v>
      </c>
    </row>
    <row r="87" spans="1:25" ht="14.25" customHeight="1" x14ac:dyDescent="0.25">
      <c r="A87" s="15">
        <v>3030309</v>
      </c>
      <c r="B87" s="14" t="s">
        <v>187</v>
      </c>
      <c r="C87" s="9">
        <v>0</v>
      </c>
      <c r="D87" s="10">
        <v>850.00034000000005</v>
      </c>
      <c r="E87" s="34">
        <v>764.99982999999997</v>
      </c>
      <c r="F87" s="34">
        <v>999.99983999999995</v>
      </c>
      <c r="G87" s="11"/>
      <c r="H87" s="12" t="s">
        <v>18</v>
      </c>
      <c r="I87" s="12" t="s">
        <v>80</v>
      </c>
      <c r="J87" s="13" t="s">
        <v>137</v>
      </c>
      <c r="K87" s="14" t="s">
        <v>188</v>
      </c>
      <c r="L87" s="66">
        <v>5</v>
      </c>
      <c r="M87" s="44">
        <v>10</v>
      </c>
      <c r="N87" s="43" t="s">
        <v>18</v>
      </c>
      <c r="O87" s="38">
        <v>7.0000000000000007E-2</v>
      </c>
      <c r="P87" s="40">
        <f t="shared" si="5"/>
        <v>929.99985119999997</v>
      </c>
      <c r="Q87" s="29">
        <v>100</v>
      </c>
      <c r="R87" s="37">
        <v>0.15</v>
      </c>
      <c r="S87" s="41">
        <f t="shared" si="6"/>
        <v>849.999864</v>
      </c>
      <c r="T87" s="31">
        <v>500</v>
      </c>
      <c r="U87" s="39">
        <v>0.2</v>
      </c>
      <c r="V87" s="42">
        <f t="shared" si="7"/>
        <v>799.99987199999998</v>
      </c>
      <c r="W87" s="60">
        <v>1000</v>
      </c>
      <c r="X87" s="61">
        <f t="shared" si="8"/>
        <v>0.25</v>
      </c>
      <c r="Y87" s="62">
        <f t="shared" si="9"/>
        <v>749.99987999999996</v>
      </c>
    </row>
    <row r="88" spans="1:25" ht="14.25" customHeight="1" x14ac:dyDescent="0.25">
      <c r="A88" s="15">
        <v>3030417</v>
      </c>
      <c r="B88" s="14" t="s">
        <v>189</v>
      </c>
      <c r="C88" s="9">
        <v>5600</v>
      </c>
      <c r="D88" s="10">
        <v>2100.0048999999999</v>
      </c>
      <c r="E88" s="34">
        <v>2057.0000005100001</v>
      </c>
      <c r="F88" s="34">
        <v>2300.27</v>
      </c>
      <c r="G88" s="11"/>
      <c r="H88" s="12" t="s">
        <v>18</v>
      </c>
      <c r="I88" s="12" t="s">
        <v>80</v>
      </c>
      <c r="J88" s="13" t="s">
        <v>137</v>
      </c>
      <c r="K88" s="14" t="s">
        <v>190</v>
      </c>
      <c r="L88" s="66">
        <v>5</v>
      </c>
      <c r="M88" s="44">
        <v>5</v>
      </c>
      <c r="N88" s="43" t="s">
        <v>18</v>
      </c>
      <c r="O88" s="38">
        <v>7.0000000000000007E-2</v>
      </c>
      <c r="P88" s="40">
        <f t="shared" si="5"/>
        <v>2139.2511</v>
      </c>
      <c r="Q88" s="29">
        <v>100</v>
      </c>
      <c r="R88" s="37">
        <v>0.15</v>
      </c>
      <c r="S88" s="41">
        <f t="shared" si="6"/>
        <v>1955.2294999999999</v>
      </c>
      <c r="T88" s="31">
        <v>500</v>
      </c>
      <c r="U88" s="39">
        <v>0.2</v>
      </c>
      <c r="V88" s="42">
        <f t="shared" si="7"/>
        <v>1840.2159999999999</v>
      </c>
      <c r="W88" s="60">
        <v>1000</v>
      </c>
      <c r="X88" s="61">
        <f t="shared" si="8"/>
        <v>0.25</v>
      </c>
      <c r="Y88" s="62">
        <f t="shared" si="9"/>
        <v>1725.2024999999999</v>
      </c>
    </row>
    <row r="89" spans="1:25" ht="14.25" customHeight="1" x14ac:dyDescent="0.25">
      <c r="A89" s="7">
        <v>3030280</v>
      </c>
      <c r="B89" s="8" t="s">
        <v>191</v>
      </c>
      <c r="C89" s="9">
        <v>4716</v>
      </c>
      <c r="D89" s="10">
        <v>749.99749999999995</v>
      </c>
      <c r="E89" s="34">
        <v>675.00013000000001</v>
      </c>
      <c r="F89" s="34">
        <v>900.00057000000004</v>
      </c>
      <c r="G89" s="11"/>
      <c r="H89" s="12" t="s">
        <v>18</v>
      </c>
      <c r="I89" s="12" t="s">
        <v>80</v>
      </c>
      <c r="J89" s="13" t="s">
        <v>137</v>
      </c>
      <c r="K89" s="14" t="s">
        <v>192</v>
      </c>
      <c r="L89" s="66">
        <v>5</v>
      </c>
      <c r="M89" s="44">
        <v>10</v>
      </c>
      <c r="N89" s="43" t="s">
        <v>18</v>
      </c>
      <c r="O89" s="38">
        <v>7.0000000000000007E-2</v>
      </c>
      <c r="P89" s="40">
        <f t="shared" si="5"/>
        <v>837.00053009999999</v>
      </c>
      <c r="Q89" s="29">
        <v>100</v>
      </c>
      <c r="R89" s="37">
        <v>0.15</v>
      </c>
      <c r="S89" s="41">
        <f t="shared" si="6"/>
        <v>765.00048450000008</v>
      </c>
      <c r="T89" s="31">
        <v>500</v>
      </c>
      <c r="U89" s="39">
        <v>0.2</v>
      </c>
      <c r="V89" s="42">
        <f t="shared" si="7"/>
        <v>720.00045599999999</v>
      </c>
      <c r="W89" s="60">
        <v>1000</v>
      </c>
      <c r="X89" s="61">
        <f t="shared" si="8"/>
        <v>0.25</v>
      </c>
      <c r="Y89" s="62">
        <f t="shared" si="9"/>
        <v>675.0004275</v>
      </c>
    </row>
    <row r="90" spans="1:25" ht="14.25" customHeight="1" x14ac:dyDescent="0.25">
      <c r="A90" s="7">
        <v>3030314</v>
      </c>
      <c r="B90" s="8" t="s">
        <v>193</v>
      </c>
      <c r="C90" s="9">
        <v>2806</v>
      </c>
      <c r="D90" s="10">
        <v>850.00509999999997</v>
      </c>
      <c r="E90" s="34">
        <v>808.00000043</v>
      </c>
      <c r="F90" s="34">
        <v>999.6</v>
      </c>
      <c r="G90" s="11"/>
      <c r="H90" s="12" t="s">
        <v>18</v>
      </c>
      <c r="I90" s="12" t="s">
        <v>80</v>
      </c>
      <c r="J90" s="13" t="s">
        <v>137</v>
      </c>
      <c r="K90" s="14" t="s">
        <v>194</v>
      </c>
      <c r="L90" s="66">
        <v>5</v>
      </c>
      <c r="M90" s="44">
        <v>10</v>
      </c>
      <c r="N90" s="43" t="s">
        <v>18</v>
      </c>
      <c r="O90" s="38">
        <v>7.0000000000000007E-2</v>
      </c>
      <c r="P90" s="40">
        <f t="shared" si="5"/>
        <v>929.62800000000004</v>
      </c>
      <c r="Q90" s="29">
        <v>100</v>
      </c>
      <c r="R90" s="37">
        <v>0.15</v>
      </c>
      <c r="S90" s="41">
        <f t="shared" si="6"/>
        <v>849.66000000000008</v>
      </c>
      <c r="T90" s="31">
        <v>500</v>
      </c>
      <c r="U90" s="39">
        <v>0.2</v>
      </c>
      <c r="V90" s="42">
        <f t="shared" si="7"/>
        <v>799.68000000000006</v>
      </c>
      <c r="W90" s="60">
        <v>1000</v>
      </c>
      <c r="X90" s="61">
        <f t="shared" si="8"/>
        <v>0.25</v>
      </c>
      <c r="Y90" s="62">
        <f t="shared" si="9"/>
        <v>749.7</v>
      </c>
    </row>
    <row r="91" spans="1:25" ht="14.25" customHeight="1" x14ac:dyDescent="0.25">
      <c r="A91" s="7">
        <v>3030341</v>
      </c>
      <c r="B91" s="8" t="s">
        <v>195</v>
      </c>
      <c r="C91" s="9">
        <v>854</v>
      </c>
      <c r="D91" s="10">
        <v>800.00130000000001</v>
      </c>
      <c r="E91" s="34">
        <v>743.99999995999997</v>
      </c>
      <c r="F91" s="34">
        <v>1000.0046</v>
      </c>
      <c r="G91" s="11"/>
      <c r="H91" s="12" t="s">
        <v>18</v>
      </c>
      <c r="I91" s="12" t="s">
        <v>80</v>
      </c>
      <c r="J91" s="13" t="s">
        <v>137</v>
      </c>
      <c r="K91" s="14" t="s">
        <v>196</v>
      </c>
      <c r="L91" s="66">
        <v>5</v>
      </c>
      <c r="M91" s="44">
        <v>10</v>
      </c>
      <c r="N91" s="43" t="s">
        <v>18</v>
      </c>
      <c r="O91" s="38">
        <v>7.0000000000000007E-2</v>
      </c>
      <c r="P91" s="40">
        <f t="shared" si="5"/>
        <v>930.004278</v>
      </c>
      <c r="Q91" s="29">
        <v>100</v>
      </c>
      <c r="R91" s="37">
        <v>0.15</v>
      </c>
      <c r="S91" s="41">
        <f t="shared" si="6"/>
        <v>850.00391000000002</v>
      </c>
      <c r="T91" s="31">
        <v>500</v>
      </c>
      <c r="U91" s="39">
        <v>0.2</v>
      </c>
      <c r="V91" s="42">
        <f t="shared" si="7"/>
        <v>800.00368000000003</v>
      </c>
      <c r="W91" s="60">
        <v>1000</v>
      </c>
      <c r="X91" s="61">
        <f t="shared" si="8"/>
        <v>0.25</v>
      </c>
      <c r="Y91" s="62">
        <f t="shared" si="9"/>
        <v>750.00344999999993</v>
      </c>
    </row>
    <row r="92" spans="1:25" ht="14.25" customHeight="1" x14ac:dyDescent="0.25">
      <c r="A92" s="7">
        <v>3030426</v>
      </c>
      <c r="B92" s="8" t="s">
        <v>197</v>
      </c>
      <c r="C92" s="9">
        <v>4159</v>
      </c>
      <c r="D92" s="10">
        <v>850.00509999999997</v>
      </c>
      <c r="E92" s="34">
        <v>808.00000043</v>
      </c>
      <c r="F92" s="34">
        <v>999.99999946000003</v>
      </c>
      <c r="G92" s="11"/>
      <c r="H92" s="12" t="s">
        <v>18</v>
      </c>
      <c r="I92" s="12" t="s">
        <v>80</v>
      </c>
      <c r="J92" s="13" t="s">
        <v>137</v>
      </c>
      <c r="K92" s="14" t="s">
        <v>198</v>
      </c>
      <c r="L92" s="66">
        <v>5</v>
      </c>
      <c r="M92" s="44">
        <v>10</v>
      </c>
      <c r="N92" s="43" t="s">
        <v>18</v>
      </c>
      <c r="O92" s="38">
        <v>7.0000000000000007E-2</v>
      </c>
      <c r="P92" s="40">
        <f t="shared" si="5"/>
        <v>929.99999949779999</v>
      </c>
      <c r="Q92" s="29">
        <v>100</v>
      </c>
      <c r="R92" s="37">
        <v>0.15</v>
      </c>
      <c r="S92" s="41">
        <f t="shared" si="6"/>
        <v>849.99999954100008</v>
      </c>
      <c r="T92" s="31">
        <v>500</v>
      </c>
      <c r="U92" s="39">
        <v>0.2</v>
      </c>
      <c r="V92" s="42">
        <f t="shared" si="7"/>
        <v>799.99999956800002</v>
      </c>
      <c r="W92" s="60">
        <v>1000</v>
      </c>
      <c r="X92" s="61">
        <f t="shared" si="8"/>
        <v>0.25</v>
      </c>
      <c r="Y92" s="62">
        <f t="shared" si="9"/>
        <v>749.99999959499996</v>
      </c>
    </row>
    <row r="93" spans="1:25" ht="14.25" customHeight="1" x14ac:dyDescent="0.25">
      <c r="A93" s="7">
        <v>3030308</v>
      </c>
      <c r="B93" s="8" t="s">
        <v>199</v>
      </c>
      <c r="C93" s="9">
        <v>39045</v>
      </c>
      <c r="D93" s="10">
        <v>800.00010999999995</v>
      </c>
      <c r="E93" s="34">
        <v>719.99998000000005</v>
      </c>
      <c r="F93" s="34">
        <v>999.99983999999995</v>
      </c>
      <c r="G93" s="11">
        <v>679.99932000000001</v>
      </c>
      <c r="H93" s="12" t="s">
        <v>18</v>
      </c>
      <c r="I93" s="12" t="s">
        <v>80</v>
      </c>
      <c r="J93" s="13" t="s">
        <v>137</v>
      </c>
      <c r="K93" s="14" t="s">
        <v>200</v>
      </c>
      <c r="L93" s="66">
        <v>5</v>
      </c>
      <c r="M93" s="44">
        <v>10</v>
      </c>
      <c r="N93" s="43" t="s">
        <v>18</v>
      </c>
      <c r="O93" s="38">
        <v>7.0000000000000007E-2</v>
      </c>
      <c r="P93" s="40">
        <f t="shared" si="5"/>
        <v>929.99985119999997</v>
      </c>
      <c r="Q93" s="29">
        <v>100</v>
      </c>
      <c r="R93" s="37">
        <v>0.15</v>
      </c>
      <c r="S93" s="41">
        <f t="shared" si="6"/>
        <v>849.999864</v>
      </c>
      <c r="T93" s="31">
        <v>500</v>
      </c>
      <c r="U93" s="39">
        <v>0.2</v>
      </c>
      <c r="V93" s="42">
        <f t="shared" si="7"/>
        <v>799.99987199999998</v>
      </c>
      <c r="W93" s="60">
        <v>1000</v>
      </c>
      <c r="X93" s="61">
        <f t="shared" si="8"/>
        <v>0.25</v>
      </c>
      <c r="Y93" s="62">
        <f t="shared" si="9"/>
        <v>749.99987999999996</v>
      </c>
    </row>
    <row r="94" spans="1:25" ht="14.25" customHeight="1" x14ac:dyDescent="0.25">
      <c r="A94" s="15">
        <v>3030313</v>
      </c>
      <c r="B94" s="14" t="s">
        <v>201</v>
      </c>
      <c r="C94" s="9">
        <v>559</v>
      </c>
      <c r="D94" s="10">
        <v>800.00130000000001</v>
      </c>
      <c r="E94" s="34">
        <v>743.99999995999997</v>
      </c>
      <c r="F94" s="34">
        <v>999.99983999999995</v>
      </c>
      <c r="G94" s="11"/>
      <c r="H94" s="12" t="s">
        <v>18</v>
      </c>
      <c r="I94" s="12" t="s">
        <v>80</v>
      </c>
      <c r="J94" s="13" t="s">
        <v>137</v>
      </c>
      <c r="K94" s="14" t="s">
        <v>202</v>
      </c>
      <c r="L94" s="66">
        <v>5</v>
      </c>
      <c r="M94" s="44">
        <v>10</v>
      </c>
      <c r="N94" s="43" t="s">
        <v>18</v>
      </c>
      <c r="O94" s="38">
        <v>7.0000000000000007E-2</v>
      </c>
      <c r="P94" s="40">
        <f t="shared" si="5"/>
        <v>929.99985119999997</v>
      </c>
      <c r="Q94" s="29">
        <v>100</v>
      </c>
      <c r="R94" s="37">
        <v>0.15</v>
      </c>
      <c r="S94" s="41">
        <f t="shared" si="6"/>
        <v>849.999864</v>
      </c>
      <c r="T94" s="31">
        <v>500</v>
      </c>
      <c r="U94" s="39">
        <v>0.2</v>
      </c>
      <c r="V94" s="42">
        <f t="shared" si="7"/>
        <v>799.99987199999998</v>
      </c>
      <c r="W94" s="60">
        <v>1000</v>
      </c>
      <c r="X94" s="61">
        <f t="shared" si="8"/>
        <v>0.25</v>
      </c>
      <c r="Y94" s="62">
        <f t="shared" si="9"/>
        <v>749.99987999999996</v>
      </c>
    </row>
    <row r="95" spans="1:25" ht="14.25" customHeight="1" x14ac:dyDescent="0.25">
      <c r="A95" s="15">
        <v>3030310</v>
      </c>
      <c r="B95" s="14" t="s">
        <v>203</v>
      </c>
      <c r="C95" s="9">
        <v>11965</v>
      </c>
      <c r="D95" s="10">
        <v>850.00034000000005</v>
      </c>
      <c r="E95" s="34">
        <v>764.99982999999997</v>
      </c>
      <c r="F95" s="34">
        <v>999.99983999999995</v>
      </c>
      <c r="G95" s="11"/>
      <c r="H95" s="12" t="s">
        <v>18</v>
      </c>
      <c r="I95" s="12" t="s">
        <v>80</v>
      </c>
      <c r="J95" s="13" t="s">
        <v>137</v>
      </c>
      <c r="K95" s="14" t="s">
        <v>204</v>
      </c>
      <c r="L95" s="66">
        <v>5</v>
      </c>
      <c r="M95" s="44">
        <v>10</v>
      </c>
      <c r="N95" s="43" t="s">
        <v>18</v>
      </c>
      <c r="O95" s="38">
        <v>7.0000000000000007E-2</v>
      </c>
      <c r="P95" s="40">
        <f t="shared" si="5"/>
        <v>929.99985119999997</v>
      </c>
      <c r="Q95" s="29">
        <v>100</v>
      </c>
      <c r="R95" s="37">
        <v>0.15</v>
      </c>
      <c r="S95" s="41">
        <f t="shared" si="6"/>
        <v>849.999864</v>
      </c>
      <c r="T95" s="31">
        <v>500</v>
      </c>
      <c r="U95" s="39">
        <v>0.2</v>
      </c>
      <c r="V95" s="42">
        <f t="shared" si="7"/>
        <v>799.99987199999998</v>
      </c>
      <c r="W95" s="60">
        <v>1000</v>
      </c>
      <c r="X95" s="61">
        <f t="shared" si="8"/>
        <v>0.25</v>
      </c>
      <c r="Y95" s="62">
        <f t="shared" si="9"/>
        <v>749.99987999999996</v>
      </c>
    </row>
    <row r="96" spans="1:25" ht="14.25" customHeight="1" x14ac:dyDescent="0.25">
      <c r="A96" s="15">
        <v>3032012</v>
      </c>
      <c r="B96" s="14" t="s">
        <v>205</v>
      </c>
      <c r="C96" s="9">
        <v>0</v>
      </c>
      <c r="D96" s="10">
        <v>5599.9971999999998</v>
      </c>
      <c r="E96" s="34">
        <v>5040.0000004200001</v>
      </c>
      <c r="F96" s="34">
        <v>6500.0000000600003</v>
      </c>
      <c r="G96" s="11">
        <v>4760</v>
      </c>
      <c r="H96" s="12" t="s">
        <v>18</v>
      </c>
      <c r="I96" s="12" t="s">
        <v>206</v>
      </c>
      <c r="J96" s="13" t="s">
        <v>207</v>
      </c>
      <c r="K96" s="14" t="s">
        <v>208</v>
      </c>
      <c r="L96" s="66">
        <v>5</v>
      </c>
      <c r="M96" s="44">
        <v>5</v>
      </c>
      <c r="N96" s="43" t="s">
        <v>18</v>
      </c>
      <c r="O96" s="38">
        <v>7.0000000000000007E-2</v>
      </c>
      <c r="P96" s="40">
        <f t="shared" si="5"/>
        <v>6045.0000000558002</v>
      </c>
      <c r="Q96" s="29">
        <v>60</v>
      </c>
      <c r="R96" s="37">
        <v>0.15</v>
      </c>
      <c r="S96" s="41">
        <f t="shared" si="6"/>
        <v>5525.0000000509999</v>
      </c>
      <c r="T96" s="31">
        <v>100</v>
      </c>
      <c r="U96" s="39">
        <v>0.2</v>
      </c>
      <c r="V96" s="42">
        <f t="shared" si="7"/>
        <v>5200.0000000480004</v>
      </c>
      <c r="W96" s="60">
        <v>200</v>
      </c>
      <c r="X96" s="61">
        <f t="shared" si="8"/>
        <v>0.25</v>
      </c>
      <c r="Y96" s="62">
        <f t="shared" si="9"/>
        <v>4875.000000045</v>
      </c>
    </row>
    <row r="97" spans="1:25" ht="14.25" customHeight="1" x14ac:dyDescent="0.25">
      <c r="A97" s="15">
        <v>3032099</v>
      </c>
      <c r="B97" s="14" t="s">
        <v>209</v>
      </c>
      <c r="C97" s="9">
        <v>0</v>
      </c>
      <c r="D97" s="10">
        <v>5599.9971999999998</v>
      </c>
      <c r="E97" s="34">
        <v>5039.9998599999999</v>
      </c>
      <c r="F97" s="34">
        <v>6500.0001499999998</v>
      </c>
      <c r="G97" s="11">
        <v>4760</v>
      </c>
      <c r="H97" s="12" t="s">
        <v>18</v>
      </c>
      <c r="I97" s="12" t="s">
        <v>206</v>
      </c>
      <c r="J97" s="13" t="s">
        <v>207</v>
      </c>
      <c r="K97" s="14" t="s">
        <v>210</v>
      </c>
      <c r="L97" s="66">
        <v>5</v>
      </c>
      <c r="M97" s="44">
        <v>5</v>
      </c>
      <c r="N97" s="43" t="s">
        <v>18</v>
      </c>
      <c r="O97" s="38">
        <v>7.0000000000000007E-2</v>
      </c>
      <c r="P97" s="40">
        <f t="shared" si="5"/>
        <v>6045.0001394999999</v>
      </c>
      <c r="Q97" s="29">
        <v>60</v>
      </c>
      <c r="R97" s="37">
        <v>0.15</v>
      </c>
      <c r="S97" s="41">
        <f t="shared" si="6"/>
        <v>5525.0001274999995</v>
      </c>
      <c r="T97" s="31">
        <v>100</v>
      </c>
      <c r="U97" s="39">
        <v>0.2</v>
      </c>
      <c r="V97" s="42">
        <f t="shared" si="7"/>
        <v>5200.0001199999997</v>
      </c>
      <c r="W97" s="60">
        <v>200</v>
      </c>
      <c r="X97" s="61">
        <f t="shared" si="8"/>
        <v>0.25</v>
      </c>
      <c r="Y97" s="62">
        <f t="shared" si="9"/>
        <v>4875.0001124999999</v>
      </c>
    </row>
    <row r="98" spans="1:25" ht="14.25" customHeight="1" x14ac:dyDescent="0.25">
      <c r="A98" s="15">
        <v>3032006</v>
      </c>
      <c r="B98" s="14" t="s">
        <v>211</v>
      </c>
      <c r="C98" s="9">
        <v>2894</v>
      </c>
      <c r="D98" s="10">
        <v>5599.9971999999998</v>
      </c>
      <c r="E98" s="34">
        <v>5039.9998599999999</v>
      </c>
      <c r="F98" s="34">
        <v>6500.0001499999998</v>
      </c>
      <c r="G98" s="11">
        <v>4760</v>
      </c>
      <c r="H98" s="12" t="s">
        <v>18</v>
      </c>
      <c r="I98" s="12" t="s">
        <v>206</v>
      </c>
      <c r="J98" s="13" t="s">
        <v>207</v>
      </c>
      <c r="K98" s="14" t="s">
        <v>212</v>
      </c>
      <c r="L98" s="66">
        <v>5</v>
      </c>
      <c r="M98" s="44">
        <v>5</v>
      </c>
      <c r="N98" s="43" t="s">
        <v>18</v>
      </c>
      <c r="O98" s="38">
        <v>7.0000000000000007E-2</v>
      </c>
      <c r="P98" s="40">
        <f t="shared" si="5"/>
        <v>6045.0001394999999</v>
      </c>
      <c r="Q98" s="29">
        <v>60</v>
      </c>
      <c r="R98" s="37">
        <v>0.15</v>
      </c>
      <c r="S98" s="41">
        <f t="shared" si="6"/>
        <v>5525.0001274999995</v>
      </c>
      <c r="T98" s="31">
        <v>100</v>
      </c>
      <c r="U98" s="39">
        <v>0.2</v>
      </c>
      <c r="V98" s="42">
        <f t="shared" si="7"/>
        <v>5200.0001199999997</v>
      </c>
      <c r="W98" s="60">
        <v>200</v>
      </c>
      <c r="X98" s="61">
        <f t="shared" si="8"/>
        <v>0.25</v>
      </c>
      <c r="Y98" s="62">
        <f t="shared" si="9"/>
        <v>4875.0001124999999</v>
      </c>
    </row>
    <row r="99" spans="1:25" ht="14.25" customHeight="1" x14ac:dyDescent="0.25">
      <c r="A99" s="15">
        <v>3032042</v>
      </c>
      <c r="B99" s="14" t="s">
        <v>213</v>
      </c>
      <c r="C99" s="9">
        <v>0</v>
      </c>
      <c r="D99" s="10">
        <v>5300.0005799999999</v>
      </c>
      <c r="E99" s="34">
        <v>4769.9995699999999</v>
      </c>
      <c r="F99" s="34">
        <v>6000.0002299999996</v>
      </c>
      <c r="G99" s="11">
        <v>4505.34</v>
      </c>
      <c r="H99" s="12" t="s">
        <v>18</v>
      </c>
      <c r="I99" s="12" t="s">
        <v>206</v>
      </c>
      <c r="J99" s="13" t="s">
        <v>207</v>
      </c>
      <c r="K99" s="14" t="s">
        <v>214</v>
      </c>
      <c r="L99" s="66">
        <v>5</v>
      </c>
      <c r="M99" s="44">
        <v>5</v>
      </c>
      <c r="N99" s="43" t="s">
        <v>18</v>
      </c>
      <c r="O99" s="38">
        <v>7.0000000000000007E-2</v>
      </c>
      <c r="P99" s="40">
        <f t="shared" si="5"/>
        <v>5580.0002138999998</v>
      </c>
      <c r="Q99" s="29">
        <v>60</v>
      </c>
      <c r="R99" s="37">
        <v>0.15</v>
      </c>
      <c r="S99" s="41">
        <f t="shared" si="6"/>
        <v>5100.0001954999998</v>
      </c>
      <c r="T99" s="31">
        <v>100</v>
      </c>
      <c r="U99" s="39">
        <v>0.2</v>
      </c>
      <c r="V99" s="42">
        <f t="shared" si="7"/>
        <v>4800.0001839999995</v>
      </c>
      <c r="W99" s="60">
        <v>200</v>
      </c>
      <c r="X99" s="61">
        <f t="shared" si="8"/>
        <v>0.25</v>
      </c>
      <c r="Y99" s="62">
        <f t="shared" si="9"/>
        <v>4500.0001725000002</v>
      </c>
    </row>
    <row r="100" spans="1:25" ht="14.25" customHeight="1" x14ac:dyDescent="0.25">
      <c r="A100" s="15">
        <v>3032002</v>
      </c>
      <c r="B100" s="14" t="s">
        <v>215</v>
      </c>
      <c r="C100" s="9">
        <v>2398</v>
      </c>
      <c r="D100" s="10">
        <v>3999.9946</v>
      </c>
      <c r="E100" s="34">
        <v>3999.9999990299998</v>
      </c>
      <c r="F100" s="34">
        <v>3999.9999990299998</v>
      </c>
      <c r="G100" s="11">
        <v>3499.79</v>
      </c>
      <c r="H100" s="12" t="s">
        <v>18</v>
      </c>
      <c r="I100" s="12" t="s">
        <v>206</v>
      </c>
      <c r="J100" s="13" t="s">
        <v>207</v>
      </c>
      <c r="K100" s="14" t="s">
        <v>216</v>
      </c>
      <c r="L100" s="66">
        <v>5</v>
      </c>
      <c r="M100" s="44">
        <v>5</v>
      </c>
      <c r="N100" s="43" t="s">
        <v>18</v>
      </c>
      <c r="O100" s="38">
        <v>7.0000000000000007E-2</v>
      </c>
      <c r="P100" s="40">
        <f t="shared" si="5"/>
        <v>3719.9999990978999</v>
      </c>
      <c r="Q100" s="29">
        <v>60</v>
      </c>
      <c r="R100" s="37">
        <v>0.15</v>
      </c>
      <c r="S100" s="41">
        <f t="shared" si="6"/>
        <v>3399.9999991754999</v>
      </c>
      <c r="T100" s="31">
        <v>100</v>
      </c>
      <c r="U100" s="39">
        <v>0.2</v>
      </c>
      <c r="V100" s="42">
        <f t="shared" si="7"/>
        <v>3199.999999224</v>
      </c>
      <c r="W100" s="60">
        <v>200</v>
      </c>
      <c r="X100" s="61">
        <f t="shared" si="8"/>
        <v>0.25</v>
      </c>
      <c r="Y100" s="62">
        <f t="shared" si="9"/>
        <v>2999.9999992724997</v>
      </c>
    </row>
    <row r="101" spans="1:25" ht="14.25" customHeight="1" x14ac:dyDescent="0.25">
      <c r="A101" s="15">
        <v>3032010</v>
      </c>
      <c r="B101" s="14" t="s">
        <v>217</v>
      </c>
      <c r="C101" s="9">
        <v>3030</v>
      </c>
      <c r="D101" s="10">
        <v>5599.9971999999998</v>
      </c>
      <c r="E101" s="34">
        <v>5039.9998599999999</v>
      </c>
      <c r="F101" s="34">
        <v>6500.0001499999998</v>
      </c>
      <c r="G101" s="11">
        <v>4760</v>
      </c>
      <c r="H101" s="12" t="s">
        <v>18</v>
      </c>
      <c r="I101" s="12" t="s">
        <v>206</v>
      </c>
      <c r="J101" s="13" t="s">
        <v>207</v>
      </c>
      <c r="K101" s="14" t="s">
        <v>218</v>
      </c>
      <c r="L101" s="66">
        <v>5</v>
      </c>
      <c r="M101" s="44">
        <v>5</v>
      </c>
      <c r="N101" s="43" t="s">
        <v>18</v>
      </c>
      <c r="O101" s="38">
        <v>7.0000000000000007E-2</v>
      </c>
      <c r="P101" s="40">
        <f t="shared" si="5"/>
        <v>6045.0001394999999</v>
      </c>
      <c r="Q101" s="29">
        <v>60</v>
      </c>
      <c r="R101" s="37">
        <v>0.15</v>
      </c>
      <c r="S101" s="41">
        <f t="shared" si="6"/>
        <v>5525.0001274999995</v>
      </c>
      <c r="T101" s="31">
        <v>100</v>
      </c>
      <c r="U101" s="39">
        <v>0.2</v>
      </c>
      <c r="V101" s="42">
        <f t="shared" si="7"/>
        <v>5200.0001199999997</v>
      </c>
      <c r="W101" s="60">
        <v>200</v>
      </c>
      <c r="X101" s="61">
        <f t="shared" si="8"/>
        <v>0.25</v>
      </c>
      <c r="Y101" s="62">
        <f t="shared" si="9"/>
        <v>4875.0001124999999</v>
      </c>
    </row>
    <row r="102" spans="1:25" ht="14.25" customHeight="1" x14ac:dyDescent="0.25">
      <c r="A102" s="15">
        <v>3032013</v>
      </c>
      <c r="B102" s="8" t="s">
        <v>219</v>
      </c>
      <c r="C102" s="9">
        <v>5639</v>
      </c>
      <c r="D102" s="10">
        <v>5599.9971999999998</v>
      </c>
      <c r="E102" s="34">
        <v>5039.9998599999999</v>
      </c>
      <c r="F102" s="34">
        <v>6500.0001499999998</v>
      </c>
      <c r="G102" s="11">
        <v>4760</v>
      </c>
      <c r="H102" s="12" t="s">
        <v>18</v>
      </c>
      <c r="I102" s="12" t="s">
        <v>206</v>
      </c>
      <c r="J102" s="13" t="s">
        <v>207</v>
      </c>
      <c r="K102" s="14" t="s">
        <v>220</v>
      </c>
      <c r="L102" s="66">
        <v>5</v>
      </c>
      <c r="M102" s="44">
        <v>5</v>
      </c>
      <c r="N102" s="43" t="s">
        <v>18</v>
      </c>
      <c r="O102" s="38">
        <v>7.0000000000000007E-2</v>
      </c>
      <c r="P102" s="40">
        <f t="shared" si="5"/>
        <v>6045.0001394999999</v>
      </c>
      <c r="Q102" s="29">
        <v>60</v>
      </c>
      <c r="R102" s="37">
        <v>0.15</v>
      </c>
      <c r="S102" s="41">
        <f t="shared" si="6"/>
        <v>5525.0001274999995</v>
      </c>
      <c r="T102" s="31">
        <v>100</v>
      </c>
      <c r="U102" s="39">
        <v>0.2</v>
      </c>
      <c r="V102" s="42">
        <f t="shared" si="7"/>
        <v>5200.0001199999997</v>
      </c>
      <c r="W102" s="60">
        <v>200</v>
      </c>
      <c r="X102" s="61">
        <f t="shared" si="8"/>
        <v>0.25</v>
      </c>
      <c r="Y102" s="62">
        <f t="shared" si="9"/>
        <v>4875.0001124999999</v>
      </c>
    </row>
    <row r="103" spans="1:25" ht="14.25" customHeight="1" x14ac:dyDescent="0.25">
      <c r="A103" s="15">
        <v>3032068</v>
      </c>
      <c r="B103" s="14" t="s">
        <v>221</v>
      </c>
      <c r="C103" s="9">
        <v>0</v>
      </c>
      <c r="D103" s="10">
        <v>5599.9971999999998</v>
      </c>
      <c r="E103" s="34">
        <v>5040.0000004200001</v>
      </c>
      <c r="F103" s="34">
        <v>6500.0000000600003</v>
      </c>
      <c r="G103" s="11">
        <v>4760</v>
      </c>
      <c r="H103" s="12" t="s">
        <v>18</v>
      </c>
      <c r="I103" s="12" t="s">
        <v>206</v>
      </c>
      <c r="J103" s="13" t="s">
        <v>207</v>
      </c>
      <c r="L103" s="66">
        <v>5</v>
      </c>
      <c r="M103" s="44">
        <v>5</v>
      </c>
      <c r="N103" s="43" t="s">
        <v>18</v>
      </c>
      <c r="O103" s="38">
        <v>7.0000000000000007E-2</v>
      </c>
      <c r="P103" s="40">
        <f t="shared" si="5"/>
        <v>6045.0000000558002</v>
      </c>
      <c r="Q103" s="29">
        <v>60</v>
      </c>
      <c r="R103" s="37">
        <v>0.15</v>
      </c>
      <c r="S103" s="41">
        <f t="shared" si="6"/>
        <v>5525.0000000509999</v>
      </c>
      <c r="T103" s="31">
        <v>100</v>
      </c>
      <c r="U103" s="39">
        <v>0.2</v>
      </c>
      <c r="V103" s="42">
        <f t="shared" si="7"/>
        <v>5200.0000000480004</v>
      </c>
      <c r="W103" s="60">
        <v>200</v>
      </c>
      <c r="X103" s="61">
        <f t="shared" si="8"/>
        <v>0.25</v>
      </c>
      <c r="Y103" s="62">
        <f t="shared" si="9"/>
        <v>4875.000000045</v>
      </c>
    </row>
    <row r="104" spans="1:25" ht="14.25" customHeight="1" x14ac:dyDescent="0.25">
      <c r="A104" s="15">
        <v>3032004</v>
      </c>
      <c r="B104" s="14" t="s">
        <v>222</v>
      </c>
      <c r="C104" s="9">
        <v>4674</v>
      </c>
      <c r="D104" s="10">
        <v>5599.9971999999998</v>
      </c>
      <c r="E104" s="34">
        <v>5039.9998599999999</v>
      </c>
      <c r="F104" s="34">
        <v>6500.0001499999998</v>
      </c>
      <c r="G104" s="11">
        <v>4760</v>
      </c>
      <c r="H104" s="12" t="s">
        <v>18</v>
      </c>
      <c r="I104" s="12" t="s">
        <v>206</v>
      </c>
      <c r="J104" s="13" t="s">
        <v>207</v>
      </c>
      <c r="K104" s="14" t="s">
        <v>223</v>
      </c>
      <c r="L104" s="66">
        <v>5</v>
      </c>
      <c r="M104" s="44">
        <v>5</v>
      </c>
      <c r="N104" s="43" t="s">
        <v>18</v>
      </c>
      <c r="O104" s="38">
        <v>7.0000000000000007E-2</v>
      </c>
      <c r="P104" s="40">
        <f t="shared" si="5"/>
        <v>6045.0001394999999</v>
      </c>
      <c r="Q104" s="29">
        <v>60</v>
      </c>
      <c r="R104" s="37">
        <v>0.15</v>
      </c>
      <c r="S104" s="41">
        <f t="shared" si="6"/>
        <v>5525.0001274999995</v>
      </c>
      <c r="T104" s="31">
        <v>100</v>
      </c>
      <c r="U104" s="39">
        <v>0.2</v>
      </c>
      <c r="V104" s="42">
        <f t="shared" si="7"/>
        <v>5200.0001199999997</v>
      </c>
      <c r="W104" s="60">
        <v>200</v>
      </c>
      <c r="X104" s="61">
        <f t="shared" si="8"/>
        <v>0.25</v>
      </c>
      <c r="Y104" s="62">
        <f t="shared" si="9"/>
        <v>4875.0001124999999</v>
      </c>
    </row>
    <row r="105" spans="1:25" ht="14.25" customHeight="1" x14ac:dyDescent="0.25">
      <c r="A105" s="15">
        <v>3032067</v>
      </c>
      <c r="B105" s="14" t="s">
        <v>224</v>
      </c>
      <c r="C105" s="9">
        <v>2696</v>
      </c>
      <c r="D105" s="10">
        <v>5599.9971999999998</v>
      </c>
      <c r="E105" s="34">
        <v>5039.9998599999999</v>
      </c>
      <c r="F105" s="34">
        <v>6500.0001499999998</v>
      </c>
      <c r="G105" s="11">
        <v>4760</v>
      </c>
      <c r="H105" s="12" t="s">
        <v>18</v>
      </c>
      <c r="I105" s="12" t="s">
        <v>206</v>
      </c>
      <c r="J105" s="13" t="s">
        <v>207</v>
      </c>
      <c r="K105" s="14" t="s">
        <v>225</v>
      </c>
      <c r="L105" s="66">
        <v>5</v>
      </c>
      <c r="M105" s="44">
        <v>5</v>
      </c>
      <c r="N105" s="43" t="s">
        <v>18</v>
      </c>
      <c r="O105" s="38">
        <v>7.0000000000000007E-2</v>
      </c>
      <c r="P105" s="40">
        <f t="shared" si="5"/>
        <v>6045.0001394999999</v>
      </c>
      <c r="Q105" s="29">
        <v>60</v>
      </c>
      <c r="R105" s="37">
        <v>0.15</v>
      </c>
      <c r="S105" s="41">
        <f t="shared" si="6"/>
        <v>5525.0001274999995</v>
      </c>
      <c r="T105" s="31">
        <v>100</v>
      </c>
      <c r="U105" s="39">
        <v>0.2</v>
      </c>
      <c r="V105" s="42">
        <f t="shared" si="7"/>
        <v>5200.0001199999997</v>
      </c>
      <c r="W105" s="60">
        <v>200</v>
      </c>
      <c r="X105" s="61">
        <f t="shared" si="8"/>
        <v>0.25</v>
      </c>
      <c r="Y105" s="62">
        <f t="shared" si="9"/>
        <v>4875.0001124999999</v>
      </c>
    </row>
    <row r="106" spans="1:25" ht="14.25" customHeight="1" x14ac:dyDescent="0.25">
      <c r="A106" s="15">
        <v>3032005</v>
      </c>
      <c r="B106" s="14" t="s">
        <v>226</v>
      </c>
      <c r="C106" s="9">
        <v>0</v>
      </c>
      <c r="D106" s="10">
        <v>5599.9971999999998</v>
      </c>
      <c r="E106" s="34">
        <v>5040.0000004200001</v>
      </c>
      <c r="F106" s="34">
        <v>6500.0000000600003</v>
      </c>
      <c r="G106" s="11">
        <v>4760</v>
      </c>
      <c r="H106" s="12" t="s">
        <v>18</v>
      </c>
      <c r="I106" s="12" t="s">
        <v>206</v>
      </c>
      <c r="J106" s="13" t="s">
        <v>207</v>
      </c>
      <c r="K106" s="14" t="s">
        <v>227</v>
      </c>
      <c r="L106" s="66">
        <v>5</v>
      </c>
      <c r="M106" s="44">
        <v>5</v>
      </c>
      <c r="N106" s="43" t="s">
        <v>18</v>
      </c>
      <c r="O106" s="38">
        <v>7.0000000000000007E-2</v>
      </c>
      <c r="P106" s="40">
        <f t="shared" si="5"/>
        <v>6045.0000000558002</v>
      </c>
      <c r="Q106" s="29">
        <v>60</v>
      </c>
      <c r="R106" s="37">
        <v>0.15</v>
      </c>
      <c r="S106" s="41">
        <f t="shared" si="6"/>
        <v>5525.0000000509999</v>
      </c>
      <c r="T106" s="31">
        <v>100</v>
      </c>
      <c r="U106" s="39">
        <v>0.2</v>
      </c>
      <c r="V106" s="42">
        <f t="shared" si="7"/>
        <v>5200.0000000480004</v>
      </c>
      <c r="W106" s="60">
        <v>200</v>
      </c>
      <c r="X106" s="61">
        <f t="shared" si="8"/>
        <v>0.25</v>
      </c>
      <c r="Y106" s="62">
        <f t="shared" si="9"/>
        <v>4875.000000045</v>
      </c>
    </row>
    <row r="107" spans="1:25" ht="14.25" customHeight="1" x14ac:dyDescent="0.25">
      <c r="A107" s="15">
        <v>3032071</v>
      </c>
      <c r="B107" s="14" t="s">
        <v>228</v>
      </c>
      <c r="C107" s="9">
        <v>0</v>
      </c>
      <c r="D107" s="10">
        <v>6699.9975000000004</v>
      </c>
      <c r="E107" s="34">
        <v>6030.0000002899997</v>
      </c>
      <c r="F107" s="34">
        <v>7300.0000005800002</v>
      </c>
      <c r="G107" s="11">
        <v>5695.34</v>
      </c>
      <c r="H107" s="12" t="s">
        <v>18</v>
      </c>
      <c r="I107" s="12" t="s">
        <v>206</v>
      </c>
      <c r="J107" s="13" t="s">
        <v>207</v>
      </c>
      <c r="K107" s="14" t="s">
        <v>229</v>
      </c>
      <c r="L107" s="66">
        <v>5</v>
      </c>
      <c r="M107" s="44">
        <v>5</v>
      </c>
      <c r="N107" s="43" t="s">
        <v>18</v>
      </c>
      <c r="O107" s="38">
        <v>7.0000000000000007E-2</v>
      </c>
      <c r="P107" s="40">
        <f t="shared" si="5"/>
        <v>6789.0000005394004</v>
      </c>
      <c r="Q107" s="29">
        <v>60</v>
      </c>
      <c r="R107" s="37">
        <v>0.15</v>
      </c>
      <c r="S107" s="41">
        <f t="shared" si="6"/>
        <v>6205.0000004930007</v>
      </c>
      <c r="T107" s="31">
        <v>100</v>
      </c>
      <c r="U107" s="39">
        <v>0.2</v>
      </c>
      <c r="V107" s="42">
        <f t="shared" si="7"/>
        <v>5840.0000004640005</v>
      </c>
      <c r="W107" s="60">
        <v>200</v>
      </c>
      <c r="X107" s="61">
        <f t="shared" si="8"/>
        <v>0.25</v>
      </c>
      <c r="Y107" s="62">
        <f t="shared" si="9"/>
        <v>5475.0000004350004</v>
      </c>
    </row>
    <row r="108" spans="1:25" ht="14.25" customHeight="1" x14ac:dyDescent="0.25">
      <c r="A108" s="15">
        <v>3032046</v>
      </c>
      <c r="B108" s="14" t="s">
        <v>230</v>
      </c>
      <c r="C108" s="9">
        <v>0</v>
      </c>
      <c r="D108" s="10">
        <v>6699.9975000000004</v>
      </c>
      <c r="E108" s="34">
        <v>6030.0000002899997</v>
      </c>
      <c r="F108" s="34">
        <v>7300.0000005800002</v>
      </c>
      <c r="G108" s="11">
        <v>5695.34</v>
      </c>
      <c r="H108" s="12" t="s">
        <v>18</v>
      </c>
      <c r="I108" s="12" t="s">
        <v>206</v>
      </c>
      <c r="J108" s="13" t="s">
        <v>207</v>
      </c>
      <c r="K108" s="14" t="s">
        <v>231</v>
      </c>
      <c r="L108" s="66">
        <v>5</v>
      </c>
      <c r="M108" s="44">
        <v>5</v>
      </c>
      <c r="N108" s="43" t="s">
        <v>18</v>
      </c>
      <c r="O108" s="38">
        <v>7.0000000000000007E-2</v>
      </c>
      <c r="P108" s="40">
        <f t="shared" si="5"/>
        <v>6789.0000005394004</v>
      </c>
      <c r="Q108" s="29">
        <v>60</v>
      </c>
      <c r="R108" s="37">
        <v>0.15</v>
      </c>
      <c r="S108" s="41">
        <f t="shared" si="6"/>
        <v>6205.0000004930007</v>
      </c>
      <c r="T108" s="31">
        <v>100</v>
      </c>
      <c r="U108" s="39">
        <v>0.2</v>
      </c>
      <c r="V108" s="42">
        <f t="shared" si="7"/>
        <v>5840.0000004640005</v>
      </c>
      <c r="W108" s="60">
        <v>200</v>
      </c>
      <c r="X108" s="61">
        <f t="shared" si="8"/>
        <v>0.25</v>
      </c>
      <c r="Y108" s="62">
        <f t="shared" si="9"/>
        <v>5475.0000004350004</v>
      </c>
    </row>
    <row r="109" spans="1:25" ht="14.25" customHeight="1" x14ac:dyDescent="0.25">
      <c r="A109" s="15">
        <v>3032044</v>
      </c>
      <c r="B109" s="14" t="s">
        <v>232</v>
      </c>
      <c r="C109" s="9">
        <v>3510</v>
      </c>
      <c r="D109" s="10">
        <v>6699.9975000000004</v>
      </c>
      <c r="E109" s="34">
        <v>6030.0000002899997</v>
      </c>
      <c r="F109" s="34">
        <v>7300.0000005800002</v>
      </c>
      <c r="G109" s="11">
        <v>5695.34</v>
      </c>
      <c r="H109" s="12" t="s">
        <v>18</v>
      </c>
      <c r="I109" s="12" t="s">
        <v>206</v>
      </c>
      <c r="J109" s="13" t="s">
        <v>207</v>
      </c>
      <c r="K109" s="14" t="s">
        <v>233</v>
      </c>
      <c r="L109" s="66">
        <v>5</v>
      </c>
      <c r="M109" s="44">
        <v>5</v>
      </c>
      <c r="N109" s="43" t="s">
        <v>18</v>
      </c>
      <c r="O109" s="38">
        <v>7.0000000000000007E-2</v>
      </c>
      <c r="P109" s="40">
        <f t="shared" si="5"/>
        <v>6789.0000005394004</v>
      </c>
      <c r="Q109" s="29">
        <v>60</v>
      </c>
      <c r="R109" s="37">
        <v>0.15</v>
      </c>
      <c r="S109" s="41">
        <f t="shared" si="6"/>
        <v>6205.0000004930007</v>
      </c>
      <c r="T109" s="31">
        <v>100</v>
      </c>
      <c r="U109" s="39">
        <v>0.2</v>
      </c>
      <c r="V109" s="42">
        <f t="shared" si="7"/>
        <v>5840.0000004640005</v>
      </c>
      <c r="W109" s="60">
        <v>200</v>
      </c>
      <c r="X109" s="61">
        <f t="shared" si="8"/>
        <v>0.25</v>
      </c>
      <c r="Y109" s="62">
        <f t="shared" si="9"/>
        <v>5475.0000004350004</v>
      </c>
    </row>
    <row r="110" spans="1:25" ht="14.25" customHeight="1" x14ac:dyDescent="0.25">
      <c r="A110" s="15">
        <v>3032043</v>
      </c>
      <c r="B110" s="14" t="s">
        <v>234</v>
      </c>
      <c r="C110" s="9">
        <v>3924</v>
      </c>
      <c r="D110" s="10">
        <v>6500.0001499999998</v>
      </c>
      <c r="E110" s="34">
        <v>5849.9995399999998</v>
      </c>
      <c r="F110" s="34">
        <v>7499.9999900000003</v>
      </c>
      <c r="G110" s="11">
        <v>5525.17</v>
      </c>
      <c r="H110" s="12" t="s">
        <v>18</v>
      </c>
      <c r="I110" s="12" t="s">
        <v>206</v>
      </c>
      <c r="J110" s="13" t="s">
        <v>207</v>
      </c>
      <c r="K110" s="14" t="s">
        <v>235</v>
      </c>
      <c r="L110" s="66">
        <v>5</v>
      </c>
      <c r="M110" s="44">
        <v>5</v>
      </c>
      <c r="N110" s="43" t="s">
        <v>18</v>
      </c>
      <c r="O110" s="38">
        <v>7.0000000000000007E-2</v>
      </c>
      <c r="P110" s="40">
        <f t="shared" si="5"/>
        <v>6974.9999907000001</v>
      </c>
      <c r="Q110" s="29">
        <v>60</v>
      </c>
      <c r="R110" s="37">
        <v>0.15</v>
      </c>
      <c r="S110" s="41">
        <f t="shared" si="6"/>
        <v>6374.9999915000008</v>
      </c>
      <c r="T110" s="31">
        <v>100</v>
      </c>
      <c r="U110" s="39">
        <v>0.2</v>
      </c>
      <c r="V110" s="42">
        <f t="shared" si="7"/>
        <v>5999.999992</v>
      </c>
      <c r="W110" s="60">
        <v>200</v>
      </c>
      <c r="X110" s="61">
        <f t="shared" si="8"/>
        <v>0.25</v>
      </c>
      <c r="Y110" s="62">
        <f t="shared" si="9"/>
        <v>5624.9999925000002</v>
      </c>
    </row>
    <row r="111" spans="1:25" ht="14.25" customHeight="1" x14ac:dyDescent="0.25">
      <c r="A111" s="15">
        <v>3032070</v>
      </c>
      <c r="B111" s="14" t="s">
        <v>236</v>
      </c>
      <c r="C111" s="9">
        <v>658</v>
      </c>
      <c r="D111" s="10">
        <v>6699.9975000000004</v>
      </c>
      <c r="E111" s="34">
        <v>6030.0000002899997</v>
      </c>
      <c r="F111" s="34">
        <v>7300.0000005800002</v>
      </c>
      <c r="G111" s="11">
        <v>5695.34</v>
      </c>
      <c r="H111" s="12" t="s">
        <v>18</v>
      </c>
      <c r="I111" s="12" t="s">
        <v>206</v>
      </c>
      <c r="J111" s="13" t="s">
        <v>207</v>
      </c>
      <c r="K111" s="14" t="s">
        <v>237</v>
      </c>
      <c r="L111" s="66">
        <v>5</v>
      </c>
      <c r="M111" s="44">
        <v>5</v>
      </c>
      <c r="N111" s="43" t="s">
        <v>18</v>
      </c>
      <c r="O111" s="38">
        <v>7.0000000000000007E-2</v>
      </c>
      <c r="P111" s="40">
        <f t="shared" si="5"/>
        <v>6789.0000005394004</v>
      </c>
      <c r="Q111" s="29">
        <v>60</v>
      </c>
      <c r="R111" s="37">
        <v>0.15</v>
      </c>
      <c r="S111" s="41">
        <f t="shared" si="6"/>
        <v>6205.0000004930007</v>
      </c>
      <c r="T111" s="31">
        <v>100</v>
      </c>
      <c r="U111" s="39">
        <v>0.2</v>
      </c>
      <c r="V111" s="42">
        <f t="shared" si="7"/>
        <v>5840.0000004640005</v>
      </c>
      <c r="W111" s="60">
        <v>200</v>
      </c>
      <c r="X111" s="61">
        <f t="shared" si="8"/>
        <v>0.25</v>
      </c>
      <c r="Y111" s="62">
        <f t="shared" si="9"/>
        <v>5475.0000004350004</v>
      </c>
    </row>
    <row r="112" spans="1:25" ht="14.25" customHeight="1" x14ac:dyDescent="0.25">
      <c r="A112" s="15">
        <v>3032045</v>
      </c>
      <c r="B112" s="14" t="s">
        <v>238</v>
      </c>
      <c r="C112" s="9">
        <v>2024</v>
      </c>
      <c r="D112" s="10">
        <v>6699.9975000000004</v>
      </c>
      <c r="E112" s="34">
        <v>6030.0000002899997</v>
      </c>
      <c r="F112" s="34">
        <v>7300.0000005800002</v>
      </c>
      <c r="G112" s="11">
        <v>5695.34</v>
      </c>
      <c r="H112" s="12" t="s">
        <v>18</v>
      </c>
      <c r="I112" s="12" t="s">
        <v>206</v>
      </c>
      <c r="J112" s="13" t="s">
        <v>207</v>
      </c>
      <c r="K112" s="14" t="s">
        <v>239</v>
      </c>
      <c r="L112" s="66">
        <v>5</v>
      </c>
      <c r="M112" s="44">
        <v>5</v>
      </c>
      <c r="N112" s="43" t="s">
        <v>18</v>
      </c>
      <c r="O112" s="38">
        <v>7.0000000000000007E-2</v>
      </c>
      <c r="P112" s="40">
        <f t="shared" si="5"/>
        <v>6789.0000005394004</v>
      </c>
      <c r="Q112" s="29">
        <v>60</v>
      </c>
      <c r="R112" s="37">
        <v>0.15</v>
      </c>
      <c r="S112" s="41">
        <f t="shared" si="6"/>
        <v>6205.0000004930007</v>
      </c>
      <c r="T112" s="31">
        <v>100</v>
      </c>
      <c r="U112" s="39">
        <v>0.2</v>
      </c>
      <c r="V112" s="42">
        <f t="shared" si="7"/>
        <v>5840.0000004640005</v>
      </c>
      <c r="W112" s="60">
        <v>200</v>
      </c>
      <c r="X112" s="61">
        <f t="shared" si="8"/>
        <v>0.25</v>
      </c>
      <c r="Y112" s="62">
        <f t="shared" si="9"/>
        <v>5475.0000004350004</v>
      </c>
    </row>
    <row r="113" spans="1:25" ht="14.25" customHeight="1" x14ac:dyDescent="0.25">
      <c r="A113" s="15">
        <v>3032069</v>
      </c>
      <c r="B113" s="14" t="s">
        <v>240</v>
      </c>
      <c r="C113" s="9">
        <v>1526</v>
      </c>
      <c r="D113" s="10">
        <v>6699.9975000000004</v>
      </c>
      <c r="E113" s="34">
        <v>6030.0000002899997</v>
      </c>
      <c r="F113" s="34">
        <v>7300.0000005800002</v>
      </c>
      <c r="G113" s="11">
        <v>5695.34</v>
      </c>
      <c r="H113" s="12" t="s">
        <v>18</v>
      </c>
      <c r="I113" s="12" t="s">
        <v>206</v>
      </c>
      <c r="J113" s="13" t="s">
        <v>207</v>
      </c>
      <c r="K113" s="14" t="s">
        <v>241</v>
      </c>
      <c r="L113" s="66">
        <v>5</v>
      </c>
      <c r="M113" s="44">
        <v>5</v>
      </c>
      <c r="N113" s="43" t="s">
        <v>18</v>
      </c>
      <c r="O113" s="38">
        <v>7.0000000000000007E-2</v>
      </c>
      <c r="P113" s="40">
        <f t="shared" si="5"/>
        <v>6789.0000005394004</v>
      </c>
      <c r="Q113" s="29">
        <v>60</v>
      </c>
      <c r="R113" s="37">
        <v>0.15</v>
      </c>
      <c r="S113" s="41">
        <f t="shared" si="6"/>
        <v>6205.0000004930007</v>
      </c>
      <c r="T113" s="31">
        <v>100</v>
      </c>
      <c r="U113" s="39">
        <v>0.2</v>
      </c>
      <c r="V113" s="42">
        <f t="shared" si="7"/>
        <v>5840.0000004640005</v>
      </c>
      <c r="W113" s="60">
        <v>200</v>
      </c>
      <c r="X113" s="61">
        <f t="shared" si="8"/>
        <v>0.25</v>
      </c>
      <c r="Y113" s="62">
        <f t="shared" si="9"/>
        <v>5475.0000004350004</v>
      </c>
    </row>
    <row r="114" spans="1:25" ht="14.25" customHeight="1" x14ac:dyDescent="0.25">
      <c r="A114" s="15">
        <v>3032047</v>
      </c>
      <c r="B114" s="14" t="s">
        <v>242</v>
      </c>
      <c r="C114" s="9">
        <v>1513</v>
      </c>
      <c r="D114" s="10">
        <v>6699.9975000000004</v>
      </c>
      <c r="E114" s="34">
        <v>6030.0001300000004</v>
      </c>
      <c r="F114" s="34">
        <v>7499.9999900000003</v>
      </c>
      <c r="G114" s="11">
        <v>5695.34</v>
      </c>
      <c r="H114" s="12" t="s">
        <v>18</v>
      </c>
      <c r="I114" s="12" t="s">
        <v>206</v>
      </c>
      <c r="J114" s="13" t="s">
        <v>207</v>
      </c>
      <c r="K114" s="14" t="s">
        <v>243</v>
      </c>
      <c r="L114" s="66">
        <v>5</v>
      </c>
      <c r="M114" s="44">
        <v>5</v>
      </c>
      <c r="N114" s="43" t="s">
        <v>18</v>
      </c>
      <c r="O114" s="38">
        <v>7.0000000000000007E-2</v>
      </c>
      <c r="P114" s="40">
        <f t="shared" si="5"/>
        <v>6974.9999907000001</v>
      </c>
      <c r="Q114" s="29">
        <v>60</v>
      </c>
      <c r="R114" s="37">
        <v>0.15</v>
      </c>
      <c r="S114" s="41">
        <f t="shared" si="6"/>
        <v>6374.9999915000008</v>
      </c>
      <c r="T114" s="31">
        <v>100</v>
      </c>
      <c r="U114" s="39">
        <v>0.2</v>
      </c>
      <c r="V114" s="42">
        <f t="shared" si="7"/>
        <v>5999.999992</v>
      </c>
      <c r="W114" s="60">
        <v>200</v>
      </c>
      <c r="X114" s="61">
        <f t="shared" si="8"/>
        <v>0.25</v>
      </c>
      <c r="Y114" s="62">
        <f t="shared" si="9"/>
        <v>5624.9999925000002</v>
      </c>
    </row>
    <row r="115" spans="1:25" ht="14.25" customHeight="1" x14ac:dyDescent="0.25">
      <c r="A115" s="15">
        <v>3032048</v>
      </c>
      <c r="B115" s="14" t="s">
        <v>244</v>
      </c>
      <c r="C115" s="9">
        <v>2348</v>
      </c>
      <c r="D115" s="10">
        <v>3999.9946</v>
      </c>
      <c r="E115" s="34">
        <v>3999.9999990299998</v>
      </c>
      <c r="F115" s="34">
        <v>4999.9999996799997</v>
      </c>
      <c r="G115" s="11"/>
      <c r="H115" s="12" t="s">
        <v>18</v>
      </c>
      <c r="I115" s="12" t="s">
        <v>206</v>
      </c>
      <c r="J115" s="13" t="s">
        <v>207</v>
      </c>
      <c r="K115" s="14" t="s">
        <v>245</v>
      </c>
      <c r="L115" s="66">
        <v>5</v>
      </c>
      <c r="M115" s="44">
        <v>5</v>
      </c>
      <c r="N115" s="43" t="s">
        <v>18</v>
      </c>
      <c r="O115" s="38">
        <v>7.0000000000000007E-2</v>
      </c>
      <c r="P115" s="40">
        <f t="shared" si="5"/>
        <v>4649.9999997023997</v>
      </c>
      <c r="Q115" s="29">
        <v>60</v>
      </c>
      <c r="R115" s="37">
        <v>0.15</v>
      </c>
      <c r="S115" s="41">
        <f t="shared" si="6"/>
        <v>4249.9999997280001</v>
      </c>
      <c r="T115" s="31">
        <v>100</v>
      </c>
      <c r="U115" s="39">
        <v>0.2</v>
      </c>
      <c r="V115" s="42">
        <f t="shared" si="7"/>
        <v>3999.999999744</v>
      </c>
      <c r="W115" s="60">
        <v>200</v>
      </c>
      <c r="X115" s="61">
        <f t="shared" si="8"/>
        <v>0.25</v>
      </c>
      <c r="Y115" s="62">
        <f t="shared" si="9"/>
        <v>3749.9999997599998</v>
      </c>
    </row>
    <row r="116" spans="1:25" ht="14.25" customHeight="1" x14ac:dyDescent="0.25">
      <c r="A116" s="15">
        <v>3030425</v>
      </c>
      <c r="B116" s="17" t="s">
        <v>246</v>
      </c>
      <c r="C116" s="9">
        <v>1171</v>
      </c>
      <c r="D116" s="10">
        <v>2100.0048999999999</v>
      </c>
      <c r="E116" s="34">
        <v>1953.00000049</v>
      </c>
      <c r="F116" s="34">
        <v>2200.0005999999998</v>
      </c>
      <c r="G116" s="11"/>
      <c r="H116" s="12" t="s">
        <v>18</v>
      </c>
      <c r="I116" s="12" t="s">
        <v>19</v>
      </c>
      <c r="J116" s="13" t="s">
        <v>20</v>
      </c>
      <c r="K116" s="14" t="s">
        <v>247</v>
      </c>
      <c r="L116" s="66">
        <v>5</v>
      </c>
      <c r="M116" s="44">
        <v>10</v>
      </c>
      <c r="N116" s="43" t="s">
        <v>18</v>
      </c>
      <c r="O116" s="38">
        <v>7.0000000000000007E-2</v>
      </c>
      <c r="P116" s="40">
        <f t="shared" si="5"/>
        <v>2046.0005579999997</v>
      </c>
      <c r="Q116" s="29">
        <v>100</v>
      </c>
      <c r="R116" s="37">
        <v>0.15</v>
      </c>
      <c r="S116" s="41">
        <f t="shared" si="6"/>
        <v>1870.0005099999998</v>
      </c>
      <c r="T116" s="31">
        <v>500</v>
      </c>
      <c r="U116" s="39">
        <v>0.2</v>
      </c>
      <c r="V116" s="42">
        <f t="shared" si="7"/>
        <v>1760.0004799999999</v>
      </c>
      <c r="W116" s="60">
        <v>1000</v>
      </c>
      <c r="X116" s="61">
        <f t="shared" si="8"/>
        <v>0.25</v>
      </c>
      <c r="Y116" s="62">
        <f t="shared" si="9"/>
        <v>1650.00045</v>
      </c>
    </row>
    <row r="117" spans="1:25" ht="14.25" customHeight="1" x14ac:dyDescent="0.25">
      <c r="A117" s="15">
        <v>3030422</v>
      </c>
      <c r="B117" s="17" t="s">
        <v>248</v>
      </c>
      <c r="C117" s="9">
        <v>37714</v>
      </c>
      <c r="D117" s="10">
        <v>2199.9994099999999</v>
      </c>
      <c r="E117" s="34">
        <v>1980.00054</v>
      </c>
      <c r="F117" s="34">
        <v>2499.9996000000001</v>
      </c>
      <c r="G117" s="11"/>
      <c r="H117" s="12" t="s">
        <v>18</v>
      </c>
      <c r="I117" s="12" t="s">
        <v>19</v>
      </c>
      <c r="J117" s="13" t="s">
        <v>20</v>
      </c>
      <c r="K117" s="14" t="s">
        <v>249</v>
      </c>
      <c r="L117" s="66">
        <v>5</v>
      </c>
      <c r="M117" s="44">
        <v>10</v>
      </c>
      <c r="N117" s="43" t="s">
        <v>18</v>
      </c>
      <c r="O117" s="38">
        <v>7.0000000000000007E-2</v>
      </c>
      <c r="P117" s="40">
        <f t="shared" si="5"/>
        <v>2324.999628</v>
      </c>
      <c r="Q117" s="29">
        <v>100</v>
      </c>
      <c r="R117" s="37">
        <v>0.15</v>
      </c>
      <c r="S117" s="41">
        <f t="shared" si="6"/>
        <v>2124.9996599999999</v>
      </c>
      <c r="T117" s="31">
        <v>500</v>
      </c>
      <c r="U117" s="39">
        <v>0.2</v>
      </c>
      <c r="V117" s="42">
        <f t="shared" si="7"/>
        <v>1999.9996800000001</v>
      </c>
      <c r="W117" s="60">
        <v>1000</v>
      </c>
      <c r="X117" s="61">
        <f t="shared" si="8"/>
        <v>0.25</v>
      </c>
      <c r="Y117" s="62">
        <f t="shared" si="9"/>
        <v>1874.9997000000001</v>
      </c>
    </row>
    <row r="118" spans="1:25" ht="14.25" customHeight="1" x14ac:dyDescent="0.25">
      <c r="A118" s="15">
        <v>3030418</v>
      </c>
      <c r="B118" s="17" t="s">
        <v>250</v>
      </c>
      <c r="C118" s="9">
        <v>122055</v>
      </c>
      <c r="D118" s="10">
        <v>2100.0048999999999</v>
      </c>
      <c r="E118" s="34">
        <v>1890.0056</v>
      </c>
      <c r="F118" s="34">
        <v>2299.9962999999998</v>
      </c>
      <c r="G118" s="11">
        <v>1785</v>
      </c>
      <c r="H118" s="12" t="s">
        <v>18</v>
      </c>
      <c r="I118" s="12" t="s">
        <v>19</v>
      </c>
      <c r="J118" s="13" t="s">
        <v>20</v>
      </c>
      <c r="K118" s="14" t="s">
        <v>251</v>
      </c>
      <c r="L118" s="66">
        <v>5</v>
      </c>
      <c r="M118" s="44">
        <v>10</v>
      </c>
      <c r="N118" s="43" t="s">
        <v>18</v>
      </c>
      <c r="O118" s="38">
        <v>7.0000000000000007E-2</v>
      </c>
      <c r="P118" s="40">
        <f t="shared" si="5"/>
        <v>2138.9965589999997</v>
      </c>
      <c r="Q118" s="29">
        <v>100</v>
      </c>
      <c r="R118" s="37">
        <v>0.15</v>
      </c>
      <c r="S118" s="41">
        <f t="shared" si="6"/>
        <v>1954.9968549999999</v>
      </c>
      <c r="T118" s="31">
        <v>500</v>
      </c>
      <c r="U118" s="39">
        <v>0.2</v>
      </c>
      <c r="V118" s="42">
        <f t="shared" si="7"/>
        <v>1839.9970399999997</v>
      </c>
      <c r="W118" s="60">
        <v>1000</v>
      </c>
      <c r="X118" s="61">
        <f t="shared" si="8"/>
        <v>0.25</v>
      </c>
      <c r="Y118" s="62">
        <f t="shared" si="9"/>
        <v>1724.9972249999998</v>
      </c>
    </row>
    <row r="119" spans="1:25" ht="14.25" customHeight="1" x14ac:dyDescent="0.25">
      <c r="A119" s="15">
        <v>3030423</v>
      </c>
      <c r="B119" s="17" t="s">
        <v>252</v>
      </c>
      <c r="C119" s="9">
        <v>8929</v>
      </c>
      <c r="D119" s="10">
        <v>2100.0048999999999</v>
      </c>
      <c r="E119" s="34">
        <v>1953.00000049</v>
      </c>
      <c r="F119" s="34">
        <v>2200.0005999999998</v>
      </c>
      <c r="G119" s="11"/>
      <c r="H119" s="12" t="s">
        <v>18</v>
      </c>
      <c r="I119" s="12" t="s">
        <v>19</v>
      </c>
      <c r="J119" s="13" t="s">
        <v>20</v>
      </c>
      <c r="K119" s="14" t="s">
        <v>253</v>
      </c>
      <c r="L119" s="66">
        <v>5</v>
      </c>
      <c r="M119" s="44">
        <v>10</v>
      </c>
      <c r="N119" s="43" t="s">
        <v>18</v>
      </c>
      <c r="O119" s="38">
        <v>7.0000000000000007E-2</v>
      </c>
      <c r="P119" s="40">
        <f t="shared" si="5"/>
        <v>2046.0005579999997</v>
      </c>
      <c r="Q119" s="29">
        <v>100</v>
      </c>
      <c r="R119" s="37">
        <v>0.15</v>
      </c>
      <c r="S119" s="41">
        <f t="shared" si="6"/>
        <v>1870.0005099999998</v>
      </c>
      <c r="T119" s="31">
        <v>500</v>
      </c>
      <c r="U119" s="39">
        <v>0.2</v>
      </c>
      <c r="V119" s="42">
        <f t="shared" si="7"/>
        <v>1760.0004799999999</v>
      </c>
      <c r="W119" s="60">
        <v>1000</v>
      </c>
      <c r="X119" s="61">
        <f t="shared" si="8"/>
        <v>0.25</v>
      </c>
      <c r="Y119" s="62">
        <f t="shared" si="9"/>
        <v>1650.00045</v>
      </c>
    </row>
    <row r="120" spans="1:25" ht="14.25" customHeight="1" x14ac:dyDescent="0.25">
      <c r="A120" s="15">
        <v>3030424</v>
      </c>
      <c r="B120" s="17" t="s">
        <v>254</v>
      </c>
      <c r="C120" s="9">
        <v>1584</v>
      </c>
      <c r="D120" s="10">
        <v>2100.0048999999999</v>
      </c>
      <c r="E120" s="34">
        <v>1953.00000049</v>
      </c>
      <c r="F120" s="34">
        <v>2200.0005999999998</v>
      </c>
      <c r="G120" s="11"/>
      <c r="H120" s="12" t="s">
        <v>18</v>
      </c>
      <c r="I120" s="12" t="s">
        <v>19</v>
      </c>
      <c r="J120" s="18">
        <v>100</v>
      </c>
      <c r="K120" s="14" t="s">
        <v>255</v>
      </c>
      <c r="L120" s="66">
        <v>5</v>
      </c>
      <c r="M120" s="44">
        <v>10</v>
      </c>
      <c r="N120" s="43" t="s">
        <v>18</v>
      </c>
      <c r="O120" s="38">
        <v>7.0000000000000007E-2</v>
      </c>
      <c r="P120" s="40">
        <f t="shared" si="5"/>
        <v>2046.0005579999997</v>
      </c>
      <c r="Q120" s="29">
        <v>100</v>
      </c>
      <c r="R120" s="37">
        <v>0.15</v>
      </c>
      <c r="S120" s="41">
        <f t="shared" si="6"/>
        <v>1870.0005099999998</v>
      </c>
      <c r="T120" s="31">
        <v>500</v>
      </c>
      <c r="U120" s="39">
        <v>0.2</v>
      </c>
      <c r="V120" s="42">
        <f t="shared" si="7"/>
        <v>1760.0004799999999</v>
      </c>
      <c r="W120" s="60">
        <v>1000</v>
      </c>
      <c r="X120" s="61">
        <f t="shared" si="8"/>
        <v>0.25</v>
      </c>
      <c r="Y120" s="62">
        <f t="shared" si="9"/>
        <v>1650.00045</v>
      </c>
    </row>
    <row r="121" spans="1:25" ht="14.25" customHeight="1" x14ac:dyDescent="0.25">
      <c r="A121" s="7">
        <v>3030400</v>
      </c>
      <c r="B121" s="14" t="s">
        <v>256</v>
      </c>
      <c r="C121" s="9">
        <v>2363</v>
      </c>
      <c r="D121" s="10">
        <v>1600.0026</v>
      </c>
      <c r="E121" s="34">
        <v>1295.9999997</v>
      </c>
      <c r="F121" s="34">
        <v>1899.9999994499999</v>
      </c>
      <c r="G121" s="11"/>
      <c r="H121" s="12" t="s">
        <v>80</v>
      </c>
      <c r="I121" s="12" t="s">
        <v>80</v>
      </c>
      <c r="J121" s="18">
        <v>100</v>
      </c>
      <c r="K121" s="14" t="s">
        <v>257</v>
      </c>
      <c r="L121" s="66">
        <v>5</v>
      </c>
      <c r="M121" s="44">
        <v>10</v>
      </c>
      <c r="N121" s="43" t="s">
        <v>18</v>
      </c>
      <c r="O121" s="38">
        <v>7.0000000000000007E-2</v>
      </c>
      <c r="P121" s="40">
        <f t="shared" si="5"/>
        <v>1766.9999994885</v>
      </c>
      <c r="Q121" s="29">
        <v>100</v>
      </c>
      <c r="R121" s="37">
        <v>0.15</v>
      </c>
      <c r="S121" s="41">
        <f t="shared" si="6"/>
        <v>1614.9999995324999</v>
      </c>
      <c r="T121" s="31">
        <v>500</v>
      </c>
      <c r="U121" s="39">
        <v>0.2</v>
      </c>
      <c r="V121" s="42">
        <f t="shared" si="7"/>
        <v>1519.9999995599999</v>
      </c>
      <c r="W121" s="60">
        <v>1000</v>
      </c>
      <c r="X121" s="61">
        <f t="shared" si="8"/>
        <v>0.25</v>
      </c>
      <c r="Y121" s="62">
        <f t="shared" si="9"/>
        <v>1424.9999995875</v>
      </c>
    </row>
    <row r="122" spans="1:25" ht="14.25" customHeight="1" x14ac:dyDescent="0.25">
      <c r="A122" s="7">
        <v>3030401</v>
      </c>
      <c r="B122" s="14" t="s">
        <v>258</v>
      </c>
      <c r="C122" s="9">
        <v>1067</v>
      </c>
      <c r="D122" s="10">
        <v>1600.0026</v>
      </c>
      <c r="E122" s="34">
        <v>1295.9999997</v>
      </c>
      <c r="F122" s="34">
        <v>1899.9999994499999</v>
      </c>
      <c r="G122" s="11"/>
      <c r="H122" s="12" t="s">
        <v>80</v>
      </c>
      <c r="I122" s="12" t="s">
        <v>80</v>
      </c>
      <c r="J122" s="18">
        <v>100</v>
      </c>
      <c r="K122" s="14" t="s">
        <v>259</v>
      </c>
      <c r="L122" s="66">
        <v>5</v>
      </c>
      <c r="M122" s="44">
        <v>10</v>
      </c>
      <c r="N122" s="43" t="s">
        <v>18</v>
      </c>
      <c r="O122" s="38">
        <v>7.0000000000000007E-2</v>
      </c>
      <c r="P122" s="40">
        <f t="shared" si="5"/>
        <v>1766.9999994885</v>
      </c>
      <c r="Q122" s="29">
        <v>100</v>
      </c>
      <c r="R122" s="37">
        <v>0.15</v>
      </c>
      <c r="S122" s="41">
        <f t="shared" si="6"/>
        <v>1614.9999995324999</v>
      </c>
      <c r="T122" s="31">
        <v>500</v>
      </c>
      <c r="U122" s="39">
        <v>0.2</v>
      </c>
      <c r="V122" s="42">
        <f t="shared" si="7"/>
        <v>1519.9999995599999</v>
      </c>
      <c r="W122" s="60">
        <v>1000</v>
      </c>
      <c r="X122" s="61">
        <f t="shared" si="8"/>
        <v>0.25</v>
      </c>
      <c r="Y122" s="62">
        <f t="shared" si="9"/>
        <v>1424.9999995875</v>
      </c>
    </row>
    <row r="123" spans="1:25" ht="14.25" customHeight="1" x14ac:dyDescent="0.25">
      <c r="A123" s="7">
        <v>3030402</v>
      </c>
      <c r="B123" s="14" t="s">
        <v>260</v>
      </c>
      <c r="C123" s="9">
        <v>2624</v>
      </c>
      <c r="D123" s="10">
        <v>1600.0026</v>
      </c>
      <c r="E123" s="34">
        <v>1295.9999997</v>
      </c>
      <c r="F123" s="34">
        <v>1899.9999994499999</v>
      </c>
      <c r="G123" s="11"/>
      <c r="H123" s="12" t="s">
        <v>80</v>
      </c>
      <c r="I123" s="12" t="s">
        <v>80</v>
      </c>
      <c r="J123" s="18">
        <v>100</v>
      </c>
      <c r="K123" s="14" t="s">
        <v>261</v>
      </c>
      <c r="L123" s="66">
        <v>5</v>
      </c>
      <c r="M123" s="44">
        <v>10</v>
      </c>
      <c r="N123" s="43" t="s">
        <v>18</v>
      </c>
      <c r="O123" s="38">
        <v>7.0000000000000007E-2</v>
      </c>
      <c r="P123" s="40">
        <f t="shared" si="5"/>
        <v>1766.9999994885</v>
      </c>
      <c r="Q123" s="29">
        <v>100</v>
      </c>
      <c r="R123" s="37">
        <v>0.15</v>
      </c>
      <c r="S123" s="41">
        <f t="shared" si="6"/>
        <v>1614.9999995324999</v>
      </c>
      <c r="T123" s="31">
        <v>500</v>
      </c>
      <c r="U123" s="39">
        <v>0.2</v>
      </c>
      <c r="V123" s="42">
        <f t="shared" si="7"/>
        <v>1519.9999995599999</v>
      </c>
      <c r="W123" s="60">
        <v>1000</v>
      </c>
      <c r="X123" s="61">
        <f t="shared" si="8"/>
        <v>0.25</v>
      </c>
      <c r="Y123" s="62">
        <f t="shared" si="9"/>
        <v>1424.9999995875</v>
      </c>
    </row>
    <row r="124" spans="1:25" ht="14.25" customHeight="1" x14ac:dyDescent="0.25">
      <c r="A124" s="7">
        <v>3030403</v>
      </c>
      <c r="B124" s="14" t="s">
        <v>262</v>
      </c>
      <c r="C124" s="9">
        <v>1649</v>
      </c>
      <c r="D124" s="10">
        <v>1600.0026</v>
      </c>
      <c r="E124" s="34">
        <v>1295.9999997</v>
      </c>
      <c r="F124" s="34">
        <v>1899.9999994499999</v>
      </c>
      <c r="G124" s="11"/>
      <c r="H124" s="12" t="s">
        <v>80</v>
      </c>
      <c r="I124" s="12" t="s">
        <v>80</v>
      </c>
      <c r="J124" s="18">
        <v>100</v>
      </c>
      <c r="K124" s="14" t="s">
        <v>263</v>
      </c>
      <c r="L124" s="66">
        <v>5</v>
      </c>
      <c r="M124" s="44">
        <v>10</v>
      </c>
      <c r="N124" s="43" t="s">
        <v>18</v>
      </c>
      <c r="O124" s="38">
        <v>7.0000000000000007E-2</v>
      </c>
      <c r="P124" s="40">
        <f t="shared" si="5"/>
        <v>1766.9999994885</v>
      </c>
      <c r="Q124" s="29">
        <v>100</v>
      </c>
      <c r="R124" s="37">
        <v>0.15</v>
      </c>
      <c r="S124" s="41">
        <f t="shared" si="6"/>
        <v>1614.9999995324999</v>
      </c>
      <c r="T124" s="31">
        <v>500</v>
      </c>
      <c r="U124" s="39">
        <v>0.2</v>
      </c>
      <c r="V124" s="42">
        <f t="shared" si="7"/>
        <v>1519.9999995599999</v>
      </c>
      <c r="W124" s="60">
        <v>1000</v>
      </c>
      <c r="X124" s="61">
        <f t="shared" si="8"/>
        <v>0.25</v>
      </c>
      <c r="Y124" s="62">
        <f t="shared" si="9"/>
        <v>1424.9999995875</v>
      </c>
    </row>
    <row r="125" spans="1:25" ht="14.25" customHeight="1" x14ac:dyDescent="0.25">
      <c r="A125" s="7">
        <v>3030404</v>
      </c>
      <c r="B125" s="14" t="s">
        <v>264</v>
      </c>
      <c r="C125" s="9">
        <v>1662</v>
      </c>
      <c r="D125" s="10">
        <v>1600.0026</v>
      </c>
      <c r="E125" s="34">
        <v>1295.9999997</v>
      </c>
      <c r="F125" s="34">
        <v>1899.9999994499999</v>
      </c>
      <c r="G125" s="11"/>
      <c r="H125" s="12" t="s">
        <v>80</v>
      </c>
      <c r="I125" s="12" t="s">
        <v>80</v>
      </c>
      <c r="J125" s="18">
        <v>100</v>
      </c>
      <c r="K125" s="14" t="s">
        <v>265</v>
      </c>
      <c r="L125" s="66">
        <v>5</v>
      </c>
      <c r="M125" s="44">
        <v>10</v>
      </c>
      <c r="N125" s="43" t="s">
        <v>18</v>
      </c>
      <c r="O125" s="38">
        <v>7.0000000000000007E-2</v>
      </c>
      <c r="P125" s="40">
        <f t="shared" si="5"/>
        <v>1766.9999994885</v>
      </c>
      <c r="Q125" s="29">
        <v>100</v>
      </c>
      <c r="R125" s="37">
        <v>0.15</v>
      </c>
      <c r="S125" s="41">
        <f t="shared" si="6"/>
        <v>1614.9999995324999</v>
      </c>
      <c r="T125" s="31">
        <v>500</v>
      </c>
      <c r="U125" s="39">
        <v>0.2</v>
      </c>
      <c r="V125" s="42">
        <f t="shared" si="7"/>
        <v>1519.9999995599999</v>
      </c>
      <c r="W125" s="60">
        <v>1000</v>
      </c>
      <c r="X125" s="61">
        <f t="shared" si="8"/>
        <v>0.25</v>
      </c>
      <c r="Y125" s="62">
        <f t="shared" si="9"/>
        <v>1424.9999995875</v>
      </c>
    </row>
    <row r="126" spans="1:25" ht="14.25" customHeight="1" x14ac:dyDescent="0.25">
      <c r="A126" s="7">
        <v>3030410</v>
      </c>
      <c r="B126" s="14" t="s">
        <v>266</v>
      </c>
      <c r="C126" s="9">
        <v>260</v>
      </c>
      <c r="D126" s="10">
        <v>1600.0026</v>
      </c>
      <c r="E126" s="34">
        <v>1295.9999997</v>
      </c>
      <c r="F126" s="34">
        <v>1899.9999994499999</v>
      </c>
      <c r="G126" s="11"/>
      <c r="H126" s="12" t="s">
        <v>80</v>
      </c>
      <c r="I126" s="12" t="s">
        <v>80</v>
      </c>
      <c r="J126" s="18">
        <v>100</v>
      </c>
      <c r="K126" s="14" t="s">
        <v>267</v>
      </c>
      <c r="L126" s="66">
        <v>5</v>
      </c>
      <c r="M126" s="44">
        <v>10</v>
      </c>
      <c r="N126" s="43" t="s">
        <v>18</v>
      </c>
      <c r="O126" s="38">
        <v>7.0000000000000007E-2</v>
      </c>
      <c r="P126" s="40">
        <f t="shared" si="5"/>
        <v>1766.9999994885</v>
      </c>
      <c r="Q126" s="29">
        <v>100</v>
      </c>
      <c r="R126" s="37">
        <v>0.15</v>
      </c>
      <c r="S126" s="41">
        <f t="shared" si="6"/>
        <v>1614.9999995324999</v>
      </c>
      <c r="T126" s="31">
        <v>500</v>
      </c>
      <c r="U126" s="39">
        <v>0.2</v>
      </c>
      <c r="V126" s="42">
        <f t="shared" si="7"/>
        <v>1519.9999995599999</v>
      </c>
      <c r="W126" s="60">
        <v>1000</v>
      </c>
      <c r="X126" s="61">
        <f t="shared" si="8"/>
        <v>0.25</v>
      </c>
      <c r="Y126" s="62">
        <f t="shared" si="9"/>
        <v>1424.9999995875</v>
      </c>
    </row>
    <row r="127" spans="1:25" ht="14.25" customHeight="1" x14ac:dyDescent="0.25">
      <c r="A127" s="7">
        <v>3030411</v>
      </c>
      <c r="B127" s="14" t="s">
        <v>268</v>
      </c>
      <c r="C127" s="9">
        <v>530</v>
      </c>
      <c r="D127" s="10">
        <v>1600.0026</v>
      </c>
      <c r="E127" s="34">
        <v>1295.9999997</v>
      </c>
      <c r="F127" s="34">
        <v>1899.9999994499999</v>
      </c>
      <c r="G127" s="11"/>
      <c r="H127" s="12" t="s">
        <v>80</v>
      </c>
      <c r="I127" s="12" t="s">
        <v>80</v>
      </c>
      <c r="J127" s="18">
        <v>100</v>
      </c>
      <c r="K127" s="14" t="s">
        <v>269</v>
      </c>
      <c r="L127" s="66">
        <v>5</v>
      </c>
      <c r="M127" s="44">
        <v>10</v>
      </c>
      <c r="N127" s="43" t="s">
        <v>18</v>
      </c>
      <c r="O127" s="38">
        <v>7.0000000000000007E-2</v>
      </c>
      <c r="P127" s="40">
        <f t="shared" si="5"/>
        <v>1766.9999994885</v>
      </c>
      <c r="Q127" s="29">
        <v>100</v>
      </c>
      <c r="R127" s="37">
        <v>0.15</v>
      </c>
      <c r="S127" s="41">
        <f t="shared" si="6"/>
        <v>1614.9999995324999</v>
      </c>
      <c r="T127" s="31">
        <v>500</v>
      </c>
      <c r="U127" s="39">
        <v>0.2</v>
      </c>
      <c r="V127" s="42">
        <f t="shared" si="7"/>
        <v>1519.9999995599999</v>
      </c>
      <c r="W127" s="60">
        <v>1000</v>
      </c>
      <c r="X127" s="61">
        <f t="shared" si="8"/>
        <v>0.25</v>
      </c>
      <c r="Y127" s="62">
        <f t="shared" si="9"/>
        <v>1424.9999995875</v>
      </c>
    </row>
    <row r="128" spans="1:25" ht="14.25" customHeight="1" x14ac:dyDescent="0.25">
      <c r="A128" s="7">
        <v>3030412</v>
      </c>
      <c r="B128" s="14" t="s">
        <v>270</v>
      </c>
      <c r="C128" s="9">
        <v>1760</v>
      </c>
      <c r="D128" s="10">
        <v>1600.0026</v>
      </c>
      <c r="E128" s="34">
        <v>1295.9999997</v>
      </c>
      <c r="F128" s="34">
        <v>1899.9999994499999</v>
      </c>
      <c r="G128" s="11"/>
      <c r="H128" s="12" t="s">
        <v>80</v>
      </c>
      <c r="I128" s="12" t="s">
        <v>80</v>
      </c>
      <c r="J128" s="18">
        <v>100</v>
      </c>
      <c r="K128" s="14" t="s">
        <v>68</v>
      </c>
      <c r="L128" s="66">
        <v>5</v>
      </c>
      <c r="M128" s="44">
        <v>10</v>
      </c>
      <c r="N128" s="43" t="s">
        <v>18</v>
      </c>
      <c r="O128" s="38">
        <v>7.0000000000000007E-2</v>
      </c>
      <c r="P128" s="40">
        <f t="shared" si="5"/>
        <v>1766.9999994885</v>
      </c>
      <c r="Q128" s="29">
        <v>100</v>
      </c>
      <c r="R128" s="37">
        <v>0.15</v>
      </c>
      <c r="S128" s="41">
        <f t="shared" si="6"/>
        <v>1614.9999995324999</v>
      </c>
      <c r="T128" s="31">
        <v>500</v>
      </c>
      <c r="U128" s="39">
        <v>0.2</v>
      </c>
      <c r="V128" s="42">
        <f t="shared" si="7"/>
        <v>1519.9999995599999</v>
      </c>
      <c r="W128" s="60">
        <v>1000</v>
      </c>
      <c r="X128" s="61">
        <f t="shared" si="8"/>
        <v>0.25</v>
      </c>
      <c r="Y128" s="62">
        <f t="shared" si="9"/>
        <v>1424.9999995875</v>
      </c>
    </row>
    <row r="129" spans="1:25" ht="14.25" customHeight="1" x14ac:dyDescent="0.25">
      <c r="A129" s="7">
        <v>3030413</v>
      </c>
      <c r="B129" s="14" t="s">
        <v>271</v>
      </c>
      <c r="C129" s="9">
        <v>1050</v>
      </c>
      <c r="D129" s="10">
        <v>1600.0026</v>
      </c>
      <c r="E129" s="34">
        <v>1295.9999997</v>
      </c>
      <c r="F129" s="34">
        <v>1899.9999994499999</v>
      </c>
      <c r="G129" s="11"/>
      <c r="H129" s="12" t="s">
        <v>80</v>
      </c>
      <c r="I129" s="12" t="s">
        <v>80</v>
      </c>
      <c r="J129" s="18">
        <v>100</v>
      </c>
      <c r="K129" s="14" t="s">
        <v>241</v>
      </c>
      <c r="L129" s="66">
        <v>5</v>
      </c>
      <c r="M129" s="44">
        <v>10</v>
      </c>
      <c r="N129" s="43" t="s">
        <v>18</v>
      </c>
      <c r="O129" s="38">
        <v>7.0000000000000007E-2</v>
      </c>
      <c r="P129" s="40">
        <f t="shared" si="5"/>
        <v>1766.9999994885</v>
      </c>
      <c r="Q129" s="29">
        <v>100</v>
      </c>
      <c r="R129" s="37">
        <v>0.15</v>
      </c>
      <c r="S129" s="41">
        <f t="shared" si="6"/>
        <v>1614.9999995324999</v>
      </c>
      <c r="T129" s="31">
        <v>500</v>
      </c>
      <c r="U129" s="39">
        <v>0.2</v>
      </c>
      <c r="V129" s="42">
        <f t="shared" si="7"/>
        <v>1519.9999995599999</v>
      </c>
      <c r="W129" s="60">
        <v>1000</v>
      </c>
      <c r="X129" s="61">
        <f t="shared" si="8"/>
        <v>0.25</v>
      </c>
      <c r="Y129" s="62">
        <f t="shared" si="9"/>
        <v>1424.9999995875</v>
      </c>
    </row>
    <row r="130" spans="1:25" ht="14.25" customHeight="1" x14ac:dyDescent="0.25">
      <c r="A130" s="7">
        <v>3030414</v>
      </c>
      <c r="B130" s="14" t="s">
        <v>272</v>
      </c>
      <c r="C130" s="9">
        <v>1270</v>
      </c>
      <c r="D130" s="10">
        <v>1600.0026</v>
      </c>
      <c r="E130" s="34">
        <v>1295.9999997</v>
      </c>
      <c r="F130" s="34">
        <v>1899.9999994499999</v>
      </c>
      <c r="G130" s="11"/>
      <c r="H130" s="12" t="s">
        <v>80</v>
      </c>
      <c r="I130" s="12" t="s">
        <v>80</v>
      </c>
      <c r="J130" s="18">
        <v>100</v>
      </c>
      <c r="K130" s="14" t="s">
        <v>273</v>
      </c>
      <c r="L130" s="66">
        <v>5</v>
      </c>
      <c r="M130" s="44">
        <v>10</v>
      </c>
      <c r="N130" s="43" t="s">
        <v>18</v>
      </c>
      <c r="O130" s="38">
        <v>7.0000000000000007E-2</v>
      </c>
      <c r="P130" s="40">
        <f t="shared" si="5"/>
        <v>1766.9999994885</v>
      </c>
      <c r="Q130" s="29">
        <v>100</v>
      </c>
      <c r="R130" s="37">
        <v>0.15</v>
      </c>
      <c r="S130" s="41">
        <f t="shared" si="6"/>
        <v>1614.9999995324999</v>
      </c>
      <c r="T130" s="31">
        <v>500</v>
      </c>
      <c r="U130" s="39">
        <v>0.2</v>
      </c>
      <c r="V130" s="42">
        <f t="shared" si="7"/>
        <v>1519.9999995599999</v>
      </c>
      <c r="W130" s="60">
        <v>1000</v>
      </c>
      <c r="X130" s="61">
        <f t="shared" si="8"/>
        <v>0.25</v>
      </c>
      <c r="Y130" s="62">
        <f t="shared" si="9"/>
        <v>1424.9999995875</v>
      </c>
    </row>
    <row r="131" spans="1:25" ht="14.25" customHeight="1" x14ac:dyDescent="0.25">
      <c r="A131" s="15">
        <v>3030293</v>
      </c>
      <c r="B131" s="14" t="s">
        <v>274</v>
      </c>
      <c r="C131" s="9">
        <v>1329</v>
      </c>
      <c r="D131" s="10">
        <v>2899.9942999999998</v>
      </c>
      <c r="E131" s="34">
        <v>2587.0000002000002</v>
      </c>
      <c r="F131" s="34">
        <v>2899.9942999999998</v>
      </c>
      <c r="G131" s="11"/>
      <c r="H131" s="12" t="s">
        <v>18</v>
      </c>
      <c r="I131" s="12" t="s">
        <v>19</v>
      </c>
      <c r="J131" s="13" t="s">
        <v>20</v>
      </c>
      <c r="K131" s="14" t="s">
        <v>275</v>
      </c>
      <c r="L131" s="66">
        <v>5</v>
      </c>
      <c r="M131" s="44">
        <v>5</v>
      </c>
      <c r="N131" s="43" t="s">
        <v>18</v>
      </c>
      <c r="O131" s="38">
        <v>7.0000000000000007E-2</v>
      </c>
      <c r="P131" s="40">
        <f t="shared" si="5"/>
        <v>2696.9946989999999</v>
      </c>
      <c r="Q131" s="29">
        <v>40</v>
      </c>
      <c r="R131" s="37">
        <v>0.15</v>
      </c>
      <c r="S131" s="41">
        <f t="shared" si="6"/>
        <v>2464.9951550000001</v>
      </c>
      <c r="T131" s="31">
        <v>60</v>
      </c>
      <c r="U131" s="39">
        <v>0.2</v>
      </c>
      <c r="V131" s="42">
        <f t="shared" si="7"/>
        <v>2319.9954399999997</v>
      </c>
      <c r="W131" s="60">
        <v>80</v>
      </c>
      <c r="X131" s="61">
        <f t="shared" si="8"/>
        <v>0.25</v>
      </c>
      <c r="Y131" s="62">
        <f t="shared" si="9"/>
        <v>2174.9957249999998</v>
      </c>
    </row>
    <row r="132" spans="1:25" ht="14.25" customHeight="1" x14ac:dyDescent="0.25">
      <c r="A132" s="15">
        <v>3030291</v>
      </c>
      <c r="B132" s="14" t="s">
        <v>276</v>
      </c>
      <c r="C132" s="9">
        <v>324</v>
      </c>
      <c r="D132" s="10">
        <v>2899.9942999999998</v>
      </c>
      <c r="E132" s="34">
        <v>2587.0000002000002</v>
      </c>
      <c r="F132" s="34">
        <v>2899.9942999999998</v>
      </c>
      <c r="G132" s="11"/>
      <c r="H132" s="12" t="s">
        <v>18</v>
      </c>
      <c r="I132" s="12" t="s">
        <v>19</v>
      </c>
      <c r="J132" s="13" t="s">
        <v>20</v>
      </c>
      <c r="K132" s="14" t="s">
        <v>277</v>
      </c>
      <c r="L132" s="66">
        <v>5</v>
      </c>
      <c r="M132" s="44">
        <v>5</v>
      </c>
      <c r="N132" s="43" t="s">
        <v>18</v>
      </c>
      <c r="O132" s="38">
        <v>7.0000000000000007E-2</v>
      </c>
      <c r="P132" s="40">
        <f t="shared" si="5"/>
        <v>2696.9946989999999</v>
      </c>
      <c r="Q132" s="29">
        <v>40</v>
      </c>
      <c r="R132" s="37">
        <v>0.15</v>
      </c>
      <c r="S132" s="41">
        <f t="shared" si="6"/>
        <v>2464.9951550000001</v>
      </c>
      <c r="T132" s="31">
        <v>60</v>
      </c>
      <c r="U132" s="39">
        <v>0.2</v>
      </c>
      <c r="V132" s="42">
        <f t="shared" si="7"/>
        <v>2319.9954399999997</v>
      </c>
      <c r="W132" s="60">
        <v>80</v>
      </c>
      <c r="X132" s="61">
        <f t="shared" si="8"/>
        <v>0.25</v>
      </c>
      <c r="Y132" s="62">
        <f t="shared" si="9"/>
        <v>2174.9957249999998</v>
      </c>
    </row>
    <row r="133" spans="1:25" ht="14.25" customHeight="1" x14ac:dyDescent="0.25">
      <c r="A133" s="15">
        <v>3030381</v>
      </c>
      <c r="B133" s="14" t="s">
        <v>278</v>
      </c>
      <c r="C133" s="9">
        <v>458</v>
      </c>
      <c r="D133" s="10">
        <v>850.00509999999997</v>
      </c>
      <c r="E133" s="34">
        <v>706.00000008999996</v>
      </c>
      <c r="F133" s="34">
        <v>999.99999946000003</v>
      </c>
      <c r="G133" s="11"/>
      <c r="H133" s="12" t="s">
        <v>18</v>
      </c>
      <c r="I133" s="12" t="s">
        <v>19</v>
      </c>
      <c r="J133" s="13" t="s">
        <v>20</v>
      </c>
      <c r="K133" s="14" t="s">
        <v>279</v>
      </c>
      <c r="L133" s="66">
        <v>5</v>
      </c>
      <c r="M133" s="44">
        <v>10</v>
      </c>
      <c r="N133" s="43" t="s">
        <v>18</v>
      </c>
      <c r="O133" s="38">
        <v>7.0000000000000007E-2</v>
      </c>
      <c r="P133" s="40">
        <f>F133-(F133*O133)</f>
        <v>929.99999949779999</v>
      </c>
      <c r="Q133" s="29">
        <v>100</v>
      </c>
      <c r="R133" s="37">
        <v>0.15</v>
      </c>
      <c r="S133" s="41">
        <f>F133-(F133*R133)</f>
        <v>849.99999954100008</v>
      </c>
      <c r="T133" s="31">
        <v>500</v>
      </c>
      <c r="U133" s="39">
        <v>0.2</v>
      </c>
      <c r="V133" s="42">
        <f>F133-(F133*U133)</f>
        <v>799.99999956800002</v>
      </c>
      <c r="W133" s="60">
        <v>1000</v>
      </c>
      <c r="X133" s="61">
        <f t="shared" ref="X133:X175" si="10">X132</f>
        <v>0.25</v>
      </c>
      <c r="Y133" s="62">
        <f t="shared" ref="Y133:Y175" si="11">F133-(F133*X133)</f>
        <v>749.99999959499996</v>
      </c>
    </row>
    <row r="134" spans="1:25" ht="14.25" customHeight="1" x14ac:dyDescent="0.25">
      <c r="A134" s="15">
        <v>3030389</v>
      </c>
      <c r="B134" s="14" t="s">
        <v>280</v>
      </c>
      <c r="C134" s="9">
        <v>1940</v>
      </c>
      <c r="D134" s="10">
        <v>850.00509999999997</v>
      </c>
      <c r="E134" s="34">
        <v>705.50340000000006</v>
      </c>
      <c r="F134" s="34">
        <v>1000.0046</v>
      </c>
      <c r="G134" s="11"/>
      <c r="H134" s="12" t="s">
        <v>18</v>
      </c>
      <c r="I134" s="12" t="s">
        <v>19</v>
      </c>
      <c r="J134" s="13" t="s">
        <v>20</v>
      </c>
      <c r="K134" s="14" t="s">
        <v>281</v>
      </c>
      <c r="L134" s="66">
        <v>5</v>
      </c>
      <c r="M134" s="44">
        <v>10</v>
      </c>
      <c r="N134" s="43" t="s">
        <v>18</v>
      </c>
      <c r="O134" s="38">
        <v>7.0000000000000007E-2</v>
      </c>
      <c r="P134" s="40">
        <f>F134-(F134*O134)</f>
        <v>930.004278</v>
      </c>
      <c r="Q134" s="29">
        <v>100</v>
      </c>
      <c r="R134" s="37">
        <v>0.15</v>
      </c>
      <c r="S134" s="41">
        <f>F134-(F134*R134)</f>
        <v>850.00391000000002</v>
      </c>
      <c r="T134" s="31">
        <v>500</v>
      </c>
      <c r="U134" s="39">
        <v>0.2</v>
      </c>
      <c r="V134" s="42">
        <f>F134-(F134*U134)</f>
        <v>800.00368000000003</v>
      </c>
      <c r="W134" s="60">
        <v>1000</v>
      </c>
      <c r="X134" s="61">
        <f t="shared" si="10"/>
        <v>0.25</v>
      </c>
      <c r="Y134" s="62">
        <f t="shared" si="11"/>
        <v>750.00344999999993</v>
      </c>
    </row>
    <row r="135" spans="1:25" ht="14.25" customHeight="1" x14ac:dyDescent="0.25">
      <c r="A135" s="15">
        <v>3030383</v>
      </c>
      <c r="B135" s="14" t="s">
        <v>282</v>
      </c>
      <c r="C135" s="9">
        <v>4</v>
      </c>
      <c r="D135" s="10">
        <v>850.00509999999997</v>
      </c>
      <c r="E135" s="34">
        <v>706.00000008999996</v>
      </c>
      <c r="F135" s="34">
        <v>999.99999946000003</v>
      </c>
      <c r="G135" s="11"/>
      <c r="H135" s="12" t="s">
        <v>18</v>
      </c>
      <c r="I135" s="12" t="s">
        <v>19</v>
      </c>
      <c r="J135" s="13" t="s">
        <v>20</v>
      </c>
      <c r="K135" s="14" t="s">
        <v>283</v>
      </c>
      <c r="L135" s="66">
        <v>5</v>
      </c>
      <c r="M135" s="44">
        <v>10</v>
      </c>
      <c r="N135" s="43" t="s">
        <v>18</v>
      </c>
      <c r="O135" s="38">
        <v>7.0000000000000007E-2</v>
      </c>
      <c r="P135" s="40">
        <f>F135-(F135*O135)</f>
        <v>929.99999949779999</v>
      </c>
      <c r="Q135" s="29">
        <v>100</v>
      </c>
      <c r="R135" s="37">
        <v>0.15</v>
      </c>
      <c r="S135" s="41">
        <f>F135-(F135*R135)</f>
        <v>849.99999954100008</v>
      </c>
      <c r="T135" s="31">
        <v>500</v>
      </c>
      <c r="U135" s="39">
        <v>0.2</v>
      </c>
      <c r="V135" s="42">
        <f>F135-(F135*U135)</f>
        <v>799.99999956800002</v>
      </c>
      <c r="W135" s="60">
        <v>1000</v>
      </c>
      <c r="X135" s="61">
        <f t="shared" si="10"/>
        <v>0.25</v>
      </c>
      <c r="Y135" s="62">
        <f t="shared" si="11"/>
        <v>749.99999959499996</v>
      </c>
    </row>
    <row r="136" spans="1:25" ht="14.25" customHeight="1" x14ac:dyDescent="0.25">
      <c r="A136" s="15">
        <v>3030391</v>
      </c>
      <c r="B136" s="14" t="s">
        <v>284</v>
      </c>
      <c r="C136" s="9">
        <v>279</v>
      </c>
      <c r="D136" s="10">
        <v>850.00509999999997</v>
      </c>
      <c r="E136" s="34">
        <v>706.00000008999996</v>
      </c>
      <c r="F136" s="34">
        <v>999.99999946000003</v>
      </c>
      <c r="G136" s="11"/>
      <c r="H136" s="12" t="s">
        <v>18</v>
      </c>
      <c r="I136" s="12" t="s">
        <v>19</v>
      </c>
      <c r="J136" s="13" t="s">
        <v>20</v>
      </c>
      <c r="K136" s="14" t="s">
        <v>285</v>
      </c>
      <c r="L136" s="66">
        <v>5</v>
      </c>
      <c r="M136" s="44">
        <v>10</v>
      </c>
      <c r="N136" s="43" t="s">
        <v>18</v>
      </c>
      <c r="O136" s="38">
        <v>7.0000000000000007E-2</v>
      </c>
      <c r="P136" s="40">
        <f>F136-(F136*O136)</f>
        <v>929.99999949779999</v>
      </c>
      <c r="Q136" s="29">
        <v>100</v>
      </c>
      <c r="R136" s="37">
        <v>0.15</v>
      </c>
      <c r="S136" s="41">
        <f>F136-(F136*R136)</f>
        <v>849.99999954100008</v>
      </c>
      <c r="T136" s="31">
        <v>500</v>
      </c>
      <c r="U136" s="39">
        <v>0.2</v>
      </c>
      <c r="V136" s="42">
        <f>F136-(F136*U136)</f>
        <v>799.99999956800002</v>
      </c>
      <c r="W136" s="60">
        <v>1000</v>
      </c>
      <c r="X136" s="61">
        <f t="shared" si="10"/>
        <v>0.25</v>
      </c>
      <c r="Y136" s="62">
        <f t="shared" si="11"/>
        <v>749.99999959499996</v>
      </c>
    </row>
    <row r="137" spans="1:25" ht="14.25" customHeight="1" x14ac:dyDescent="0.25">
      <c r="A137" s="15">
        <v>3030384</v>
      </c>
      <c r="B137" s="14" t="s">
        <v>286</v>
      </c>
      <c r="C137" s="9">
        <v>1600</v>
      </c>
      <c r="D137" s="10">
        <v>850.00509999999997</v>
      </c>
      <c r="E137" s="34">
        <v>706.00000008999996</v>
      </c>
      <c r="F137" s="34">
        <v>999.99999946000003</v>
      </c>
      <c r="G137" s="11"/>
      <c r="H137" s="12" t="s">
        <v>18</v>
      </c>
      <c r="I137" s="12" t="s">
        <v>19</v>
      </c>
      <c r="J137" s="13" t="s">
        <v>20</v>
      </c>
      <c r="K137" s="14" t="s">
        <v>287</v>
      </c>
      <c r="L137" s="66">
        <v>5</v>
      </c>
      <c r="M137" s="44">
        <v>10</v>
      </c>
      <c r="N137" s="43" t="s">
        <v>18</v>
      </c>
      <c r="O137" s="38">
        <v>7.0000000000000007E-2</v>
      </c>
      <c r="P137" s="40">
        <f>F137-(F137*O137)</f>
        <v>929.99999949779999</v>
      </c>
      <c r="Q137" s="29">
        <v>100</v>
      </c>
      <c r="R137" s="37">
        <v>0.15</v>
      </c>
      <c r="S137" s="41">
        <f>F137-(F137*R137)</f>
        <v>849.99999954100008</v>
      </c>
      <c r="T137" s="31">
        <v>500</v>
      </c>
      <c r="U137" s="39">
        <v>0.2</v>
      </c>
      <c r="V137" s="42">
        <f>F137-(F137*U137)</f>
        <v>799.99999956800002</v>
      </c>
      <c r="W137" s="60">
        <v>1000</v>
      </c>
      <c r="X137" s="61">
        <f t="shared" si="10"/>
        <v>0.25</v>
      </c>
      <c r="Y137" s="62">
        <f t="shared" si="11"/>
        <v>749.99999959499996</v>
      </c>
    </row>
    <row r="138" spans="1:25" ht="14.25" customHeight="1" x14ac:dyDescent="0.25">
      <c r="A138" s="15">
        <v>3030392</v>
      </c>
      <c r="B138" s="14" t="s">
        <v>288</v>
      </c>
      <c r="C138" s="9">
        <v>1740</v>
      </c>
      <c r="D138" s="10">
        <v>850.00509999999997</v>
      </c>
      <c r="E138" s="34">
        <v>705.50340000000006</v>
      </c>
      <c r="F138" s="34">
        <v>1000.0046</v>
      </c>
      <c r="G138" s="11"/>
      <c r="H138" s="12" t="s">
        <v>18</v>
      </c>
      <c r="I138" s="12" t="s">
        <v>19</v>
      </c>
      <c r="J138" s="13" t="s">
        <v>20</v>
      </c>
      <c r="K138" s="14" t="s">
        <v>289</v>
      </c>
      <c r="L138" s="66">
        <v>5</v>
      </c>
      <c r="M138" s="44">
        <v>10</v>
      </c>
      <c r="N138" s="43" t="s">
        <v>18</v>
      </c>
      <c r="O138" s="38">
        <v>7.0000000000000007E-2</v>
      </c>
      <c r="P138" s="40">
        <f>F138-(F138*O138)</f>
        <v>930.004278</v>
      </c>
      <c r="Q138" s="29">
        <v>100</v>
      </c>
      <c r="R138" s="37">
        <v>0.15</v>
      </c>
      <c r="S138" s="41">
        <f>F138-(F138*R138)</f>
        <v>850.00391000000002</v>
      </c>
      <c r="T138" s="31">
        <v>500</v>
      </c>
      <c r="U138" s="39">
        <v>0.2</v>
      </c>
      <c r="V138" s="42">
        <f>F138-(F138*U138)</f>
        <v>800.00368000000003</v>
      </c>
      <c r="W138" s="60">
        <v>1000</v>
      </c>
      <c r="X138" s="61">
        <f t="shared" si="10"/>
        <v>0.25</v>
      </c>
      <c r="Y138" s="62">
        <f t="shared" si="11"/>
        <v>750.00344999999993</v>
      </c>
    </row>
    <row r="139" spans="1:25" ht="14.25" customHeight="1" x14ac:dyDescent="0.25">
      <c r="A139" s="15">
        <v>3030380</v>
      </c>
      <c r="B139" s="14" t="s">
        <v>290</v>
      </c>
      <c r="C139" s="9">
        <v>1417</v>
      </c>
      <c r="D139" s="10">
        <v>850.00509999999997</v>
      </c>
      <c r="E139" s="34">
        <v>705.50340000000006</v>
      </c>
      <c r="F139" s="34">
        <v>1000.0046</v>
      </c>
      <c r="G139" s="11"/>
      <c r="H139" s="12" t="s">
        <v>18</v>
      </c>
      <c r="I139" s="12" t="s">
        <v>19</v>
      </c>
      <c r="J139" s="13" t="s">
        <v>20</v>
      </c>
      <c r="K139" s="14" t="s">
        <v>291</v>
      </c>
      <c r="L139" s="66">
        <v>5</v>
      </c>
      <c r="M139" s="44">
        <v>10</v>
      </c>
      <c r="N139" s="43" t="s">
        <v>18</v>
      </c>
      <c r="O139" s="38">
        <v>7.0000000000000007E-2</v>
      </c>
      <c r="P139" s="40">
        <f>F139-(F139*O139)</f>
        <v>930.004278</v>
      </c>
      <c r="Q139" s="29">
        <v>100</v>
      </c>
      <c r="R139" s="37">
        <v>0.15</v>
      </c>
      <c r="S139" s="41">
        <f>F139-(F139*R139)</f>
        <v>850.00391000000002</v>
      </c>
      <c r="T139" s="31">
        <v>500</v>
      </c>
      <c r="U139" s="39">
        <v>0.2</v>
      </c>
      <c r="V139" s="42">
        <f>F139-(F139*U139)</f>
        <v>800.00368000000003</v>
      </c>
      <c r="W139" s="60">
        <v>1000</v>
      </c>
      <c r="X139" s="61">
        <f t="shared" si="10"/>
        <v>0.25</v>
      </c>
      <c r="Y139" s="62">
        <f t="shared" si="11"/>
        <v>750.00344999999993</v>
      </c>
    </row>
    <row r="140" spans="1:25" ht="14.25" customHeight="1" x14ac:dyDescent="0.25">
      <c r="A140" s="15">
        <v>3030388</v>
      </c>
      <c r="B140" s="14" t="s">
        <v>292</v>
      </c>
      <c r="C140" s="9">
        <v>1210</v>
      </c>
      <c r="D140" s="10">
        <v>850.00509999999997</v>
      </c>
      <c r="E140" s="34">
        <v>705.50340000000006</v>
      </c>
      <c r="F140" s="34">
        <v>1000.0046</v>
      </c>
      <c r="G140" s="11"/>
      <c r="H140" s="12" t="s">
        <v>18</v>
      </c>
      <c r="I140" s="12" t="s">
        <v>19</v>
      </c>
      <c r="J140" s="13" t="s">
        <v>20</v>
      </c>
      <c r="K140" s="14" t="s">
        <v>293</v>
      </c>
      <c r="L140" s="66">
        <v>5</v>
      </c>
      <c r="M140" s="44">
        <v>10</v>
      </c>
      <c r="N140" s="43" t="s">
        <v>18</v>
      </c>
      <c r="O140" s="38">
        <v>7.0000000000000007E-2</v>
      </c>
      <c r="P140" s="40">
        <f>F140-(F140*O140)</f>
        <v>930.004278</v>
      </c>
      <c r="Q140" s="29">
        <v>100</v>
      </c>
      <c r="R140" s="37">
        <v>0.15</v>
      </c>
      <c r="S140" s="41">
        <f>F140-(F140*R140)</f>
        <v>850.00391000000002</v>
      </c>
      <c r="T140" s="31">
        <v>500</v>
      </c>
      <c r="U140" s="39">
        <v>0.2</v>
      </c>
      <c r="V140" s="42">
        <f>F140-(F140*U140)</f>
        <v>800.00368000000003</v>
      </c>
      <c r="W140" s="60">
        <v>1000</v>
      </c>
      <c r="X140" s="61">
        <f t="shared" si="10"/>
        <v>0.25</v>
      </c>
      <c r="Y140" s="62">
        <f t="shared" si="11"/>
        <v>750.00344999999993</v>
      </c>
    </row>
    <row r="141" spans="1:25" ht="14.25" customHeight="1" x14ac:dyDescent="0.25">
      <c r="A141" s="15">
        <v>3030386</v>
      </c>
      <c r="B141" s="14" t="s">
        <v>294</v>
      </c>
      <c r="C141" s="9">
        <v>1194</v>
      </c>
      <c r="D141" s="10">
        <v>850.00509999999997</v>
      </c>
      <c r="E141" s="34">
        <v>706.00000008999996</v>
      </c>
      <c r="F141" s="34">
        <v>999.99999946000003</v>
      </c>
      <c r="G141" s="11"/>
      <c r="H141" s="12" t="s">
        <v>18</v>
      </c>
      <c r="I141" s="12" t="s">
        <v>19</v>
      </c>
      <c r="J141" s="13" t="s">
        <v>20</v>
      </c>
      <c r="K141" s="14" t="s">
        <v>295</v>
      </c>
      <c r="L141" s="66">
        <v>5</v>
      </c>
      <c r="M141" s="44">
        <v>10</v>
      </c>
      <c r="N141" s="43" t="s">
        <v>18</v>
      </c>
      <c r="O141" s="38">
        <v>7.0000000000000007E-2</v>
      </c>
      <c r="P141" s="40">
        <f>F141-(F141*O141)</f>
        <v>929.99999949779999</v>
      </c>
      <c r="Q141" s="29">
        <v>100</v>
      </c>
      <c r="R141" s="37">
        <v>0.15</v>
      </c>
      <c r="S141" s="41">
        <f>F141-(F141*R141)</f>
        <v>849.99999954100008</v>
      </c>
      <c r="T141" s="31">
        <v>500</v>
      </c>
      <c r="U141" s="39">
        <v>0.2</v>
      </c>
      <c r="V141" s="42">
        <f>F141-(F141*U141)</f>
        <v>799.99999956800002</v>
      </c>
      <c r="W141" s="60">
        <v>1000</v>
      </c>
      <c r="X141" s="61">
        <f t="shared" si="10"/>
        <v>0.25</v>
      </c>
      <c r="Y141" s="62">
        <f t="shared" si="11"/>
        <v>749.99999959499996</v>
      </c>
    </row>
    <row r="142" spans="1:25" ht="14.25" customHeight="1" x14ac:dyDescent="0.25">
      <c r="A142" s="15">
        <v>3030394</v>
      </c>
      <c r="B142" s="14" t="s">
        <v>296</v>
      </c>
      <c r="C142" s="9">
        <v>579</v>
      </c>
      <c r="D142" s="10">
        <v>850.00509999999997</v>
      </c>
      <c r="E142" s="34">
        <v>706.00000008999996</v>
      </c>
      <c r="F142" s="34">
        <v>999.99999946000003</v>
      </c>
      <c r="G142" s="11"/>
      <c r="H142" s="12" t="s">
        <v>18</v>
      </c>
      <c r="I142" s="12" t="s">
        <v>19</v>
      </c>
      <c r="J142" s="13" t="s">
        <v>20</v>
      </c>
      <c r="K142" s="14" t="s">
        <v>297</v>
      </c>
      <c r="L142" s="66">
        <v>5</v>
      </c>
      <c r="M142" s="44">
        <v>10</v>
      </c>
      <c r="N142" s="43" t="s">
        <v>18</v>
      </c>
      <c r="O142" s="38">
        <v>7.0000000000000007E-2</v>
      </c>
      <c r="P142" s="40">
        <f>F142-(F142*O142)</f>
        <v>929.99999949779999</v>
      </c>
      <c r="Q142" s="29">
        <v>100</v>
      </c>
      <c r="R142" s="37">
        <v>0.15</v>
      </c>
      <c r="S142" s="41">
        <f>F142-(F142*R142)</f>
        <v>849.99999954100008</v>
      </c>
      <c r="T142" s="31">
        <v>500</v>
      </c>
      <c r="U142" s="39">
        <v>0.2</v>
      </c>
      <c r="V142" s="42">
        <f>F142-(F142*U142)</f>
        <v>799.99999956800002</v>
      </c>
      <c r="W142" s="60">
        <v>1000</v>
      </c>
      <c r="X142" s="61">
        <f t="shared" si="10"/>
        <v>0.25</v>
      </c>
      <c r="Y142" s="62">
        <f t="shared" si="11"/>
        <v>749.99999959499996</v>
      </c>
    </row>
    <row r="143" spans="1:25" ht="14.25" customHeight="1" x14ac:dyDescent="0.25">
      <c r="A143" s="15">
        <v>3030382</v>
      </c>
      <c r="B143" s="14" t="s">
        <v>298</v>
      </c>
      <c r="C143" s="9">
        <v>319</v>
      </c>
      <c r="D143" s="10">
        <v>850.00509999999997</v>
      </c>
      <c r="E143" s="34">
        <v>706.00000008999996</v>
      </c>
      <c r="F143" s="34">
        <v>999.99999946000003</v>
      </c>
      <c r="G143" s="11"/>
      <c r="H143" s="12" t="s">
        <v>18</v>
      </c>
      <c r="I143" s="12" t="s">
        <v>19</v>
      </c>
      <c r="J143" s="13" t="s">
        <v>20</v>
      </c>
      <c r="K143" s="14" t="s">
        <v>299</v>
      </c>
      <c r="L143" s="66">
        <v>5</v>
      </c>
      <c r="M143" s="44">
        <v>10</v>
      </c>
      <c r="N143" s="43" t="s">
        <v>18</v>
      </c>
      <c r="O143" s="38">
        <v>7.0000000000000007E-2</v>
      </c>
      <c r="P143" s="40">
        <f>F143-(F143*O143)</f>
        <v>929.99999949779999</v>
      </c>
      <c r="Q143" s="29">
        <v>100</v>
      </c>
      <c r="R143" s="37">
        <v>0.15</v>
      </c>
      <c r="S143" s="41">
        <f>F143-(F143*R143)</f>
        <v>849.99999954100008</v>
      </c>
      <c r="T143" s="31">
        <v>500</v>
      </c>
      <c r="U143" s="39">
        <v>0.2</v>
      </c>
      <c r="V143" s="42">
        <f>F143-(F143*U143)</f>
        <v>799.99999956800002</v>
      </c>
      <c r="W143" s="60">
        <v>1000</v>
      </c>
      <c r="X143" s="61">
        <f t="shared" si="10"/>
        <v>0.25</v>
      </c>
      <c r="Y143" s="62">
        <f t="shared" si="11"/>
        <v>749.99999959499996</v>
      </c>
    </row>
    <row r="144" spans="1:25" ht="14.25" customHeight="1" x14ac:dyDescent="0.25">
      <c r="A144" s="15">
        <v>3030390</v>
      </c>
      <c r="B144" s="14" t="s">
        <v>300</v>
      </c>
      <c r="C144" s="9">
        <v>1060</v>
      </c>
      <c r="D144" s="10">
        <v>850.00509999999997</v>
      </c>
      <c r="E144" s="34">
        <v>705.50340000000006</v>
      </c>
      <c r="F144" s="34">
        <v>1000.0046</v>
      </c>
      <c r="G144" s="11"/>
      <c r="H144" s="12" t="s">
        <v>18</v>
      </c>
      <c r="I144" s="12" t="s">
        <v>19</v>
      </c>
      <c r="J144" s="13" t="s">
        <v>20</v>
      </c>
      <c r="K144" s="14" t="s">
        <v>301</v>
      </c>
      <c r="L144" s="66">
        <v>5</v>
      </c>
      <c r="M144" s="44">
        <v>10</v>
      </c>
      <c r="N144" s="43" t="s">
        <v>18</v>
      </c>
      <c r="O144" s="38">
        <v>7.0000000000000007E-2</v>
      </c>
      <c r="P144" s="40">
        <f>F144-(F144*O144)</f>
        <v>930.004278</v>
      </c>
      <c r="Q144" s="29">
        <v>100</v>
      </c>
      <c r="R144" s="37">
        <v>0.15</v>
      </c>
      <c r="S144" s="41">
        <f>F144-(F144*R144)</f>
        <v>850.00391000000002</v>
      </c>
      <c r="T144" s="31">
        <v>500</v>
      </c>
      <c r="U144" s="39">
        <v>0.2</v>
      </c>
      <c r="V144" s="42">
        <f>F144-(F144*U144)</f>
        <v>800.00368000000003</v>
      </c>
      <c r="W144" s="60">
        <v>1000</v>
      </c>
      <c r="X144" s="61">
        <f t="shared" si="10"/>
        <v>0.25</v>
      </c>
      <c r="Y144" s="62">
        <f t="shared" si="11"/>
        <v>750.00344999999993</v>
      </c>
    </row>
    <row r="145" spans="1:25" ht="14.25" customHeight="1" x14ac:dyDescent="0.25">
      <c r="A145" s="15">
        <v>3030385</v>
      </c>
      <c r="B145" s="14" t="s">
        <v>302</v>
      </c>
      <c r="C145" s="9">
        <v>547</v>
      </c>
      <c r="D145" s="10">
        <v>850.00509999999997</v>
      </c>
      <c r="E145" s="34">
        <v>706.00000008999996</v>
      </c>
      <c r="F145" s="34">
        <v>999.99999946000003</v>
      </c>
      <c r="G145" s="11"/>
      <c r="H145" s="12" t="s">
        <v>18</v>
      </c>
      <c r="I145" s="12" t="s">
        <v>19</v>
      </c>
      <c r="J145" s="13" t="s">
        <v>20</v>
      </c>
      <c r="K145" s="14" t="s">
        <v>303</v>
      </c>
      <c r="L145" s="66">
        <v>5</v>
      </c>
      <c r="M145" s="44">
        <v>10</v>
      </c>
      <c r="N145" s="43" t="s">
        <v>18</v>
      </c>
      <c r="O145" s="38">
        <v>7.0000000000000007E-2</v>
      </c>
      <c r="P145" s="40">
        <f>F145-(F145*O145)</f>
        <v>929.99999949779999</v>
      </c>
      <c r="Q145" s="29">
        <v>100</v>
      </c>
      <c r="R145" s="37">
        <v>0.15</v>
      </c>
      <c r="S145" s="41">
        <f>F145-(F145*R145)</f>
        <v>849.99999954100008</v>
      </c>
      <c r="T145" s="31">
        <v>500</v>
      </c>
      <c r="U145" s="39">
        <v>0.2</v>
      </c>
      <c r="V145" s="42">
        <f>F145-(F145*U145)</f>
        <v>799.99999956800002</v>
      </c>
      <c r="W145" s="60">
        <v>1000</v>
      </c>
      <c r="X145" s="61">
        <f t="shared" si="10"/>
        <v>0.25</v>
      </c>
      <c r="Y145" s="62">
        <f t="shared" si="11"/>
        <v>749.99999959499996</v>
      </c>
    </row>
    <row r="146" spans="1:25" ht="14.25" customHeight="1" x14ac:dyDescent="0.25">
      <c r="A146" s="15">
        <v>3030393</v>
      </c>
      <c r="B146" s="14" t="s">
        <v>304</v>
      </c>
      <c r="C146" s="9">
        <v>199</v>
      </c>
      <c r="D146" s="10">
        <v>850.00509999999997</v>
      </c>
      <c r="E146" s="34">
        <v>706.00000008999996</v>
      </c>
      <c r="F146" s="34">
        <v>999.99999946000003</v>
      </c>
      <c r="G146" s="11"/>
      <c r="H146" s="12" t="s">
        <v>18</v>
      </c>
      <c r="I146" s="12" t="s">
        <v>19</v>
      </c>
      <c r="J146" s="13" t="s">
        <v>20</v>
      </c>
      <c r="K146" s="14" t="s">
        <v>305</v>
      </c>
      <c r="L146" s="66">
        <v>5</v>
      </c>
      <c r="M146" s="44">
        <v>10</v>
      </c>
      <c r="N146" s="43" t="s">
        <v>18</v>
      </c>
      <c r="O146" s="38">
        <v>7.0000000000000007E-2</v>
      </c>
      <c r="P146" s="40">
        <f>F146-(F146*O146)</f>
        <v>929.99999949779999</v>
      </c>
      <c r="Q146" s="29">
        <v>100</v>
      </c>
      <c r="R146" s="37">
        <v>0.15</v>
      </c>
      <c r="S146" s="41">
        <f>F146-(F146*R146)</f>
        <v>849.99999954100008</v>
      </c>
      <c r="T146" s="31">
        <v>500</v>
      </c>
      <c r="U146" s="39">
        <v>0.2</v>
      </c>
      <c r="V146" s="42">
        <f>F146-(F146*U146)</f>
        <v>799.99999956800002</v>
      </c>
      <c r="W146" s="60">
        <v>1000</v>
      </c>
      <c r="X146" s="61">
        <f t="shared" si="10"/>
        <v>0.25</v>
      </c>
      <c r="Y146" s="62">
        <f t="shared" si="11"/>
        <v>749.99999959499996</v>
      </c>
    </row>
    <row r="147" spans="1:25" ht="14.25" customHeight="1" x14ac:dyDescent="0.25">
      <c r="A147" s="15">
        <v>3030387</v>
      </c>
      <c r="B147" s="14" t="s">
        <v>306</v>
      </c>
      <c r="C147" s="9">
        <v>2106</v>
      </c>
      <c r="D147" s="10">
        <v>850.00509999999997</v>
      </c>
      <c r="E147" s="34">
        <v>705.50340000000006</v>
      </c>
      <c r="F147" s="34">
        <v>1000.0046</v>
      </c>
      <c r="G147" s="11"/>
      <c r="H147" s="12" t="s">
        <v>18</v>
      </c>
      <c r="I147" s="12" t="s">
        <v>19</v>
      </c>
      <c r="J147" s="13" t="s">
        <v>20</v>
      </c>
      <c r="K147" s="14" t="s">
        <v>307</v>
      </c>
      <c r="L147" s="66">
        <v>5</v>
      </c>
      <c r="M147" s="44">
        <v>10</v>
      </c>
      <c r="N147" s="43" t="s">
        <v>18</v>
      </c>
      <c r="O147" s="38">
        <v>7.0000000000000007E-2</v>
      </c>
      <c r="P147" s="40">
        <f>F147-(F147*O147)</f>
        <v>930.004278</v>
      </c>
      <c r="Q147" s="29">
        <v>100</v>
      </c>
      <c r="R147" s="37">
        <v>0.15</v>
      </c>
      <c r="S147" s="41">
        <f>F147-(F147*R147)</f>
        <v>850.00391000000002</v>
      </c>
      <c r="T147" s="31">
        <v>500</v>
      </c>
      <c r="U147" s="39">
        <v>0.2</v>
      </c>
      <c r="V147" s="42">
        <f>F147-(F147*U147)</f>
        <v>800.00368000000003</v>
      </c>
      <c r="W147" s="60">
        <v>1000</v>
      </c>
      <c r="X147" s="61">
        <f t="shared" si="10"/>
        <v>0.25</v>
      </c>
      <c r="Y147" s="62">
        <f t="shared" si="11"/>
        <v>750.00344999999993</v>
      </c>
    </row>
    <row r="148" spans="1:25" ht="14.25" customHeight="1" x14ac:dyDescent="0.25">
      <c r="A148" s="15">
        <v>3030395</v>
      </c>
      <c r="B148" s="14" t="s">
        <v>308</v>
      </c>
      <c r="C148" s="9">
        <v>1102</v>
      </c>
      <c r="D148" s="10">
        <v>850.00509999999997</v>
      </c>
      <c r="E148" s="34">
        <v>705.50340000000006</v>
      </c>
      <c r="F148" s="34">
        <v>1000.0046</v>
      </c>
      <c r="G148" s="11"/>
      <c r="H148" s="12" t="s">
        <v>18</v>
      </c>
      <c r="I148" s="12" t="s">
        <v>19</v>
      </c>
      <c r="J148" s="13" t="s">
        <v>20</v>
      </c>
      <c r="K148" s="14" t="s">
        <v>309</v>
      </c>
      <c r="L148" s="66">
        <v>5</v>
      </c>
      <c r="M148" s="44">
        <v>10</v>
      </c>
      <c r="N148" s="43" t="s">
        <v>18</v>
      </c>
      <c r="O148" s="38">
        <v>7.0000000000000007E-2</v>
      </c>
      <c r="P148" s="40">
        <f>F148-(F148*O148)</f>
        <v>930.004278</v>
      </c>
      <c r="Q148" s="29">
        <v>100</v>
      </c>
      <c r="R148" s="37">
        <v>0.15</v>
      </c>
      <c r="S148" s="41">
        <f>F148-(F148*R148)</f>
        <v>850.00391000000002</v>
      </c>
      <c r="T148" s="31">
        <v>500</v>
      </c>
      <c r="U148" s="39">
        <v>0.2</v>
      </c>
      <c r="V148" s="42">
        <f>F148-(F148*U148)</f>
        <v>800.00368000000003</v>
      </c>
      <c r="W148" s="60">
        <v>1000</v>
      </c>
      <c r="X148" s="61">
        <f t="shared" si="10"/>
        <v>0.25</v>
      </c>
      <c r="Y148" s="62">
        <f t="shared" si="11"/>
        <v>750.00344999999993</v>
      </c>
    </row>
    <row r="149" spans="1:25" ht="14.25" customHeight="1" x14ac:dyDescent="0.25">
      <c r="A149" s="15">
        <v>3032107</v>
      </c>
      <c r="B149" s="14" t="s">
        <v>310</v>
      </c>
      <c r="C149" s="9">
        <v>3952</v>
      </c>
      <c r="D149" s="10">
        <v>6000.0038000000004</v>
      </c>
      <c r="E149" s="34">
        <v>5399.9998500000002</v>
      </c>
      <c r="F149" s="34">
        <v>7000.0000700000001</v>
      </c>
      <c r="G149" s="11"/>
      <c r="H149" s="12" t="s">
        <v>18</v>
      </c>
      <c r="I149" s="12" t="s">
        <v>19</v>
      </c>
      <c r="J149" s="13" t="s">
        <v>20</v>
      </c>
      <c r="K149" s="14" t="s">
        <v>311</v>
      </c>
      <c r="L149" s="66">
        <v>5</v>
      </c>
      <c r="M149" s="44">
        <v>5</v>
      </c>
      <c r="N149" s="43" t="s">
        <v>18</v>
      </c>
      <c r="O149" s="38">
        <v>7.0000000000000007E-2</v>
      </c>
      <c r="P149" s="40">
        <f>F149-(F149*O149)</f>
        <v>6510.0000651</v>
      </c>
      <c r="Q149" s="29">
        <v>60</v>
      </c>
      <c r="R149" s="37">
        <v>0.15</v>
      </c>
      <c r="S149" s="41">
        <f>F149-(F149*R149)</f>
        <v>5950.0000595000001</v>
      </c>
      <c r="T149" s="31">
        <v>100</v>
      </c>
      <c r="U149" s="39">
        <v>0.2</v>
      </c>
      <c r="V149" s="42">
        <f>F149-(F149*U149)</f>
        <v>5600.0000559999999</v>
      </c>
      <c r="W149" s="60">
        <v>200</v>
      </c>
      <c r="X149" s="61">
        <f t="shared" si="10"/>
        <v>0.25</v>
      </c>
      <c r="Y149" s="62">
        <f t="shared" si="11"/>
        <v>5250.0000524999996</v>
      </c>
    </row>
    <row r="150" spans="1:25" ht="14.25" customHeight="1" x14ac:dyDescent="0.25">
      <c r="A150" s="7">
        <v>3032104</v>
      </c>
      <c r="B150" s="14" t="s">
        <v>312</v>
      </c>
      <c r="C150" s="9">
        <v>4842</v>
      </c>
      <c r="D150" s="10">
        <v>6000.0038000000004</v>
      </c>
      <c r="E150" s="34">
        <v>5399.9998500000002</v>
      </c>
      <c r="F150" s="34">
        <v>6599.9994200000001</v>
      </c>
      <c r="G150" s="11"/>
      <c r="H150" s="12" t="s">
        <v>18</v>
      </c>
      <c r="I150" s="12" t="s">
        <v>19</v>
      </c>
      <c r="J150" s="13" t="s">
        <v>20</v>
      </c>
      <c r="K150" s="14" t="s">
        <v>313</v>
      </c>
      <c r="L150" s="66">
        <v>5</v>
      </c>
      <c r="M150" s="44">
        <v>5</v>
      </c>
      <c r="N150" s="43" t="s">
        <v>18</v>
      </c>
      <c r="O150" s="38">
        <v>7.0000000000000007E-2</v>
      </c>
      <c r="P150" s="40">
        <f>F150-(F150*O150)</f>
        <v>6137.9994606</v>
      </c>
      <c r="Q150" s="29">
        <v>60</v>
      </c>
      <c r="R150" s="37">
        <v>0.15</v>
      </c>
      <c r="S150" s="41">
        <f>F150-(F150*R150)</f>
        <v>5609.9995070000004</v>
      </c>
      <c r="T150" s="31">
        <v>100</v>
      </c>
      <c r="U150" s="39">
        <v>0.2</v>
      </c>
      <c r="V150" s="42">
        <f>F150-(F150*U150)</f>
        <v>5279.9995360000003</v>
      </c>
      <c r="W150" s="60">
        <v>200</v>
      </c>
      <c r="X150" s="61">
        <f t="shared" si="10"/>
        <v>0.25</v>
      </c>
      <c r="Y150" s="62">
        <f t="shared" si="11"/>
        <v>4949.9995650000001</v>
      </c>
    </row>
    <row r="151" spans="1:25" ht="14.25" customHeight="1" x14ac:dyDescent="0.25">
      <c r="A151" s="7">
        <v>3032040</v>
      </c>
      <c r="B151" s="14" t="s">
        <v>314</v>
      </c>
      <c r="C151" s="9">
        <v>2602</v>
      </c>
      <c r="D151" s="10">
        <v>2100.0048999999999</v>
      </c>
      <c r="E151" s="34">
        <v>2058.0000003499999</v>
      </c>
      <c r="F151" s="34">
        <v>2299.9998700000001</v>
      </c>
      <c r="G151" s="11"/>
      <c r="H151" s="12" t="s">
        <v>18</v>
      </c>
      <c r="I151" s="12" t="s">
        <v>206</v>
      </c>
      <c r="J151" s="13" t="s">
        <v>207</v>
      </c>
      <c r="K151" s="14" t="s">
        <v>315</v>
      </c>
      <c r="L151" s="66">
        <v>5</v>
      </c>
      <c r="M151" s="44">
        <v>5</v>
      </c>
      <c r="N151" s="43" t="s">
        <v>18</v>
      </c>
      <c r="O151" s="38">
        <v>7.0000000000000007E-2</v>
      </c>
      <c r="P151" s="40">
        <f>F151-(F151*O151)</f>
        <v>2138.9998791000003</v>
      </c>
      <c r="Q151" s="29">
        <v>100</v>
      </c>
      <c r="R151" s="37">
        <v>0.15</v>
      </c>
      <c r="S151" s="41">
        <f>F151-(F151*R151)</f>
        <v>1954.9998895000001</v>
      </c>
      <c r="T151" s="31">
        <v>500</v>
      </c>
      <c r="U151" s="39">
        <v>0.2</v>
      </c>
      <c r="V151" s="42">
        <f>F151-(F151*U151)</f>
        <v>1839.999896</v>
      </c>
      <c r="W151" s="60">
        <v>1000</v>
      </c>
      <c r="X151" s="61">
        <f t="shared" si="10"/>
        <v>0.25</v>
      </c>
      <c r="Y151" s="62">
        <f t="shared" si="11"/>
        <v>1724.9999025000002</v>
      </c>
    </row>
    <row r="152" spans="1:25" ht="14.25" customHeight="1" x14ac:dyDescent="0.25">
      <c r="A152" s="7">
        <v>3030419</v>
      </c>
      <c r="B152" s="14" t="s">
        <v>316</v>
      </c>
      <c r="C152" s="9">
        <v>4961</v>
      </c>
      <c r="D152" s="10">
        <v>3500.0041999999999</v>
      </c>
      <c r="E152" s="34">
        <v>3254.9998599999999</v>
      </c>
      <c r="F152" s="34">
        <v>3700.00036</v>
      </c>
      <c r="G152" s="11">
        <v>3149.93</v>
      </c>
      <c r="H152" s="12" t="s">
        <v>317</v>
      </c>
      <c r="I152" s="12" t="s">
        <v>318</v>
      </c>
      <c r="J152" s="13" t="s">
        <v>319</v>
      </c>
      <c r="K152" s="14" t="s">
        <v>320</v>
      </c>
      <c r="L152" s="66">
        <v>5</v>
      </c>
      <c r="M152" s="44">
        <v>5</v>
      </c>
      <c r="N152" s="43" t="s">
        <v>18</v>
      </c>
      <c r="O152" s="38">
        <v>7.0000000000000007E-2</v>
      </c>
      <c r="P152" s="40">
        <f>F152-(F152*O152)</f>
        <v>3441.0003348</v>
      </c>
      <c r="Q152" s="29">
        <v>60</v>
      </c>
      <c r="R152" s="37">
        <v>0.15</v>
      </c>
      <c r="S152" s="41">
        <f>F152-(F152*R152)</f>
        <v>3145.0003059999999</v>
      </c>
      <c r="T152" s="31">
        <v>100</v>
      </c>
      <c r="U152" s="39">
        <v>0.2</v>
      </c>
      <c r="V152" s="42">
        <f>F152-(F152*U152)</f>
        <v>2960.0002880000002</v>
      </c>
      <c r="W152" s="60">
        <v>200</v>
      </c>
      <c r="X152" s="61">
        <f t="shared" si="10"/>
        <v>0.25</v>
      </c>
      <c r="Y152" s="62">
        <f t="shared" si="11"/>
        <v>2775.00027</v>
      </c>
    </row>
    <row r="153" spans="1:25" ht="14.25" customHeight="1" x14ac:dyDescent="0.25">
      <c r="A153" s="7">
        <v>3032108</v>
      </c>
      <c r="B153" s="14" t="s">
        <v>321</v>
      </c>
      <c r="C153" s="9">
        <v>14725</v>
      </c>
      <c r="D153" s="10">
        <v>1800.0059000000001</v>
      </c>
      <c r="E153" s="34">
        <v>1620.00055</v>
      </c>
      <c r="F153" s="34">
        <v>1999.9996799999999</v>
      </c>
      <c r="G153" s="11"/>
      <c r="H153" s="12" t="s">
        <v>174</v>
      </c>
      <c r="I153" s="12" t="s">
        <v>19</v>
      </c>
      <c r="J153" s="13" t="s">
        <v>137</v>
      </c>
      <c r="K153" s="14" t="s">
        <v>322</v>
      </c>
      <c r="L153" s="66">
        <v>5</v>
      </c>
      <c r="M153" s="44">
        <v>10</v>
      </c>
      <c r="N153" s="43" t="s">
        <v>18</v>
      </c>
      <c r="O153" s="38">
        <v>7.0000000000000007E-2</v>
      </c>
      <c r="P153" s="40">
        <f>F153-(F153*O153)</f>
        <v>1859.9997023999999</v>
      </c>
      <c r="Q153" s="29">
        <v>100</v>
      </c>
      <c r="R153" s="37">
        <v>0.15</v>
      </c>
      <c r="S153" s="41">
        <f>F153-(F153*R153)</f>
        <v>1699.999728</v>
      </c>
      <c r="T153" s="31">
        <v>500</v>
      </c>
      <c r="U153" s="39">
        <v>0.2</v>
      </c>
      <c r="V153" s="42">
        <f>F153-(F153*U153)</f>
        <v>1599.999744</v>
      </c>
      <c r="W153" s="60">
        <v>1000</v>
      </c>
      <c r="X153" s="61">
        <f t="shared" si="10"/>
        <v>0.25</v>
      </c>
      <c r="Y153" s="62">
        <f t="shared" si="11"/>
        <v>1499.9997599999999</v>
      </c>
    </row>
    <row r="154" spans="1:25" ht="14.25" customHeight="1" x14ac:dyDescent="0.25">
      <c r="A154" s="7">
        <v>3030421</v>
      </c>
      <c r="B154" s="14" t="s">
        <v>323</v>
      </c>
      <c r="C154" s="9">
        <v>54260</v>
      </c>
      <c r="D154" s="10">
        <v>1699.9994899999999</v>
      </c>
      <c r="E154" s="34">
        <v>1529.9996599999999</v>
      </c>
      <c r="F154" s="34">
        <v>2100.0001400000001</v>
      </c>
      <c r="G154" s="11">
        <v>1445.0003400000001</v>
      </c>
      <c r="H154" s="12" t="s">
        <v>174</v>
      </c>
      <c r="I154" s="12" t="s">
        <v>19</v>
      </c>
      <c r="J154" s="13" t="s">
        <v>137</v>
      </c>
      <c r="K154" s="14" t="s">
        <v>324</v>
      </c>
      <c r="L154" s="66">
        <v>5</v>
      </c>
      <c r="M154" s="44">
        <v>10</v>
      </c>
      <c r="N154" s="43" t="s">
        <v>18</v>
      </c>
      <c r="O154" s="38">
        <v>7.0000000000000007E-2</v>
      </c>
      <c r="P154" s="40">
        <f>F154-(F154*O154)</f>
        <v>1953.0001302000001</v>
      </c>
      <c r="Q154" s="29">
        <v>100</v>
      </c>
      <c r="R154" s="37">
        <v>0.15</v>
      </c>
      <c r="S154" s="41">
        <f>F154-(F154*R154)</f>
        <v>1785.000119</v>
      </c>
      <c r="T154" s="31">
        <v>500</v>
      </c>
      <c r="U154" s="39">
        <v>0.2</v>
      </c>
      <c r="V154" s="42">
        <f>F154-(F154*U154)</f>
        <v>1680.0001120000002</v>
      </c>
      <c r="W154" s="60">
        <v>1000</v>
      </c>
      <c r="X154" s="61">
        <f t="shared" si="10"/>
        <v>0.25</v>
      </c>
      <c r="Y154" s="62">
        <f t="shared" si="11"/>
        <v>1575.0001050000001</v>
      </c>
    </row>
    <row r="155" spans="1:25" ht="14.25" customHeight="1" x14ac:dyDescent="0.25">
      <c r="A155" s="19">
        <v>3030274</v>
      </c>
      <c r="B155" s="14" t="s">
        <v>325</v>
      </c>
      <c r="C155" s="9">
        <v>62</v>
      </c>
      <c r="D155" s="10">
        <v>1199.9960000000001</v>
      </c>
      <c r="E155" s="34">
        <v>1136.0000003099999</v>
      </c>
      <c r="F155" s="34">
        <v>1300.0036</v>
      </c>
      <c r="G155" s="11"/>
      <c r="H155" s="12"/>
      <c r="I155" s="12"/>
      <c r="J155" s="46"/>
      <c r="K155" s="14" t="s">
        <v>326</v>
      </c>
      <c r="L155" s="66">
        <v>5</v>
      </c>
      <c r="M155" s="44">
        <v>10</v>
      </c>
      <c r="N155" s="43" t="s">
        <v>18</v>
      </c>
      <c r="O155" s="38">
        <v>7.0000000000000007E-2</v>
      </c>
      <c r="P155" s="40">
        <f>F155-(F155*O155)</f>
        <v>1209.003348</v>
      </c>
      <c r="Q155" s="29">
        <v>100</v>
      </c>
      <c r="R155" s="37">
        <v>0.15</v>
      </c>
      <c r="S155" s="41">
        <f>F155-(F155*R155)</f>
        <v>1105.00306</v>
      </c>
      <c r="T155" s="31">
        <v>500</v>
      </c>
      <c r="U155" s="39">
        <v>0.2</v>
      </c>
      <c r="V155" s="42">
        <f>F155-(F155*U155)</f>
        <v>1040.00288</v>
      </c>
      <c r="W155" s="60">
        <v>1000</v>
      </c>
      <c r="X155" s="61">
        <f t="shared" si="10"/>
        <v>0.25</v>
      </c>
      <c r="Y155" s="62">
        <f t="shared" si="11"/>
        <v>975.0027</v>
      </c>
    </row>
    <row r="156" spans="1:25" ht="14.25" customHeight="1" x14ac:dyDescent="0.25">
      <c r="A156" s="19">
        <v>3032105</v>
      </c>
      <c r="B156" s="14" t="s">
        <v>327</v>
      </c>
      <c r="C156" s="9">
        <v>1</v>
      </c>
      <c r="D156" s="10">
        <v>2499.9996000000001</v>
      </c>
      <c r="E156" s="34">
        <v>2249.9999993800002</v>
      </c>
      <c r="F156" s="34">
        <v>2799.99999944</v>
      </c>
      <c r="G156" s="11"/>
      <c r="H156" s="12"/>
      <c r="I156" s="12"/>
      <c r="J156" s="46" t="s">
        <v>137</v>
      </c>
      <c r="K156" s="14" t="s">
        <v>328</v>
      </c>
      <c r="L156" s="66">
        <v>5</v>
      </c>
      <c r="M156" s="44">
        <v>5</v>
      </c>
      <c r="N156" s="43" t="s">
        <v>18</v>
      </c>
      <c r="O156" s="38">
        <v>7.0000000000000007E-2</v>
      </c>
      <c r="P156" s="40">
        <f>F156-(F156*O156)</f>
        <v>2603.9999994792001</v>
      </c>
      <c r="Q156" s="29">
        <v>100</v>
      </c>
      <c r="R156" s="37">
        <v>0.15</v>
      </c>
      <c r="S156" s="41">
        <f>F156-(F156*R156)</f>
        <v>2379.999999524</v>
      </c>
      <c r="T156" s="31">
        <v>200</v>
      </c>
      <c r="U156" s="39">
        <v>0.2</v>
      </c>
      <c r="V156" s="42">
        <f>F156-(F156*U156)</f>
        <v>2239.9999995520002</v>
      </c>
      <c r="W156" s="60">
        <v>500</v>
      </c>
      <c r="X156" s="61">
        <f t="shared" si="10"/>
        <v>0.25</v>
      </c>
      <c r="Y156" s="62">
        <f t="shared" si="11"/>
        <v>2099.9999995799999</v>
      </c>
    </row>
    <row r="157" spans="1:25" ht="14.25" customHeight="1" x14ac:dyDescent="0.25">
      <c r="A157" s="7">
        <v>3032009</v>
      </c>
      <c r="B157" s="14" t="s">
        <v>329</v>
      </c>
      <c r="C157" s="9">
        <v>1779</v>
      </c>
      <c r="D157" s="10">
        <v>1800.0059000000001</v>
      </c>
      <c r="E157" s="34">
        <v>1620.00055</v>
      </c>
      <c r="F157" s="34">
        <v>1980.00054</v>
      </c>
      <c r="G157" s="11"/>
      <c r="H157" s="12" t="s">
        <v>18</v>
      </c>
      <c r="I157" s="12" t="s">
        <v>19</v>
      </c>
      <c r="J157" s="13" t="s">
        <v>20</v>
      </c>
      <c r="K157" s="14" t="s">
        <v>330</v>
      </c>
      <c r="L157" s="66">
        <v>5</v>
      </c>
      <c r="M157" s="44">
        <v>5</v>
      </c>
      <c r="N157" s="43" t="s">
        <v>18</v>
      </c>
      <c r="O157" s="38">
        <v>7.0000000000000007E-2</v>
      </c>
      <c r="P157" s="40">
        <f>F157-(F157*O157)</f>
        <v>1841.4005021999999</v>
      </c>
      <c r="Q157" s="29">
        <v>100</v>
      </c>
      <c r="R157" s="37">
        <v>0.15</v>
      </c>
      <c r="S157" s="41">
        <f>F157-(F157*R157)</f>
        <v>1683.0004590000001</v>
      </c>
      <c r="T157" s="31">
        <v>500</v>
      </c>
      <c r="U157" s="39">
        <v>0.2</v>
      </c>
      <c r="V157" s="42">
        <f>F157-(F157*U157)</f>
        <v>1584.000432</v>
      </c>
      <c r="W157" s="60">
        <v>1000</v>
      </c>
      <c r="X157" s="61">
        <f t="shared" si="10"/>
        <v>0.25</v>
      </c>
      <c r="Y157" s="62">
        <f t="shared" si="11"/>
        <v>1485.000405</v>
      </c>
    </row>
    <row r="158" spans="1:25" ht="14.25" customHeight="1" x14ac:dyDescent="0.25">
      <c r="A158" s="7">
        <v>3032031</v>
      </c>
      <c r="B158" s="14" t="s">
        <v>331</v>
      </c>
      <c r="C158" s="9">
        <v>655</v>
      </c>
      <c r="D158" s="10">
        <v>1300.0036</v>
      </c>
      <c r="E158" s="34">
        <v>1300.0036</v>
      </c>
      <c r="F158" s="34">
        <v>1399.9992999999999</v>
      </c>
      <c r="G158" s="11"/>
      <c r="H158" s="12" t="s">
        <v>18</v>
      </c>
      <c r="I158" s="12" t="s">
        <v>19</v>
      </c>
      <c r="J158" s="13" t="s">
        <v>20</v>
      </c>
      <c r="K158" s="14" t="s">
        <v>332</v>
      </c>
      <c r="L158" s="66">
        <v>5</v>
      </c>
      <c r="M158" s="44">
        <v>10</v>
      </c>
      <c r="N158" s="43" t="s">
        <v>18</v>
      </c>
      <c r="O158" s="38">
        <v>7.0000000000000007E-2</v>
      </c>
      <c r="P158" s="40">
        <f>F158-(F158*O158)</f>
        <v>1301.9993489999999</v>
      </c>
      <c r="Q158" s="29">
        <v>100</v>
      </c>
      <c r="R158" s="37">
        <v>0.15</v>
      </c>
      <c r="S158" s="41">
        <f>F158-(F158*R158)</f>
        <v>1189.999405</v>
      </c>
      <c r="T158" s="31">
        <v>500</v>
      </c>
      <c r="U158" s="39">
        <v>0.2</v>
      </c>
      <c r="V158" s="42">
        <f>F158-(F158*U158)</f>
        <v>1119.99944</v>
      </c>
      <c r="W158" s="60">
        <v>1000</v>
      </c>
      <c r="X158" s="61">
        <f t="shared" si="10"/>
        <v>0.25</v>
      </c>
      <c r="Y158" s="62">
        <f t="shared" si="11"/>
        <v>1049.9994750000001</v>
      </c>
    </row>
    <row r="159" spans="1:25" ht="14.25" customHeight="1" x14ac:dyDescent="0.25">
      <c r="A159" s="7">
        <v>3032028</v>
      </c>
      <c r="B159" s="14" t="s">
        <v>333</v>
      </c>
      <c r="C159" s="9">
        <v>7</v>
      </c>
      <c r="D159" s="10">
        <v>1150.0041000000001</v>
      </c>
      <c r="E159" s="34">
        <v>935.00000034000004</v>
      </c>
      <c r="F159" s="34">
        <v>1249.9999999199999</v>
      </c>
      <c r="G159" s="11"/>
      <c r="H159" s="12" t="s">
        <v>18</v>
      </c>
      <c r="I159" s="12" t="s">
        <v>19</v>
      </c>
      <c r="J159" s="13"/>
      <c r="K159" s="14" t="s">
        <v>334</v>
      </c>
      <c r="L159" s="66">
        <v>5</v>
      </c>
      <c r="M159" s="44">
        <v>10</v>
      </c>
      <c r="N159" s="43" t="s">
        <v>18</v>
      </c>
      <c r="O159" s="38">
        <v>7.0000000000000007E-2</v>
      </c>
      <c r="P159" s="40">
        <f>F159-(F159*O159)</f>
        <v>1162.4999999255999</v>
      </c>
      <c r="Q159" s="29">
        <v>100</v>
      </c>
      <c r="R159" s="37">
        <v>0.15</v>
      </c>
      <c r="S159" s="41">
        <f>F159-(F159*R159)</f>
        <v>1062.499999932</v>
      </c>
      <c r="T159" s="31">
        <v>500</v>
      </c>
      <c r="U159" s="39">
        <v>0.2</v>
      </c>
      <c r="V159" s="42">
        <f>F159-(F159*U159)</f>
        <v>999.99999993599999</v>
      </c>
      <c r="W159" s="60">
        <v>1000</v>
      </c>
      <c r="X159" s="61">
        <f t="shared" si="10"/>
        <v>0.25</v>
      </c>
      <c r="Y159" s="62">
        <f t="shared" si="11"/>
        <v>937.49999993999995</v>
      </c>
    </row>
    <row r="160" spans="1:25" ht="14.25" customHeight="1" x14ac:dyDescent="0.25">
      <c r="A160" s="7">
        <v>3032019</v>
      </c>
      <c r="B160" s="14" t="s">
        <v>335</v>
      </c>
      <c r="C160" s="9">
        <v>2434</v>
      </c>
      <c r="D160" s="10">
        <v>1950.0054</v>
      </c>
      <c r="E160" s="34">
        <v>1873.0000001999999</v>
      </c>
      <c r="F160" s="34">
        <v>2100.0001400000001</v>
      </c>
      <c r="G160" s="11"/>
      <c r="H160" s="12" t="s">
        <v>18</v>
      </c>
      <c r="I160" s="12" t="s">
        <v>19</v>
      </c>
      <c r="J160" s="13" t="s">
        <v>20</v>
      </c>
      <c r="K160" s="14" t="s">
        <v>336</v>
      </c>
      <c r="L160" s="66">
        <v>5</v>
      </c>
      <c r="M160" s="44">
        <v>5</v>
      </c>
      <c r="N160" s="43" t="s">
        <v>18</v>
      </c>
      <c r="O160" s="38">
        <v>7.0000000000000007E-2</v>
      </c>
      <c r="P160" s="40">
        <f>F160-(F160*O160)</f>
        <v>1953.0001302000001</v>
      </c>
      <c r="Q160" s="29">
        <v>100</v>
      </c>
      <c r="R160" s="37">
        <v>0.15</v>
      </c>
      <c r="S160" s="41">
        <f>F160-(F160*R160)</f>
        <v>1785.000119</v>
      </c>
      <c r="T160" s="31">
        <v>500</v>
      </c>
      <c r="U160" s="39">
        <v>0.2</v>
      </c>
      <c r="V160" s="42">
        <f>F160-(F160*U160)</f>
        <v>1680.0001120000002</v>
      </c>
      <c r="W160" s="60">
        <v>1000</v>
      </c>
      <c r="X160" s="61">
        <f t="shared" si="10"/>
        <v>0.25</v>
      </c>
      <c r="Y160" s="62">
        <f t="shared" si="11"/>
        <v>1575.0001050000001</v>
      </c>
    </row>
    <row r="161" spans="1:25" ht="14.25" customHeight="1" x14ac:dyDescent="0.25">
      <c r="A161" s="7">
        <v>3032018</v>
      </c>
      <c r="B161" s="14" t="s">
        <v>337</v>
      </c>
      <c r="C161" s="9">
        <v>20</v>
      </c>
      <c r="D161" s="10">
        <v>1399.9992999999999</v>
      </c>
      <c r="E161" s="34">
        <v>1142.00000054</v>
      </c>
      <c r="F161" s="34">
        <v>1500.0000003800001</v>
      </c>
      <c r="G161" s="11"/>
      <c r="H161" s="12" t="s">
        <v>18</v>
      </c>
      <c r="I161" s="12" t="s">
        <v>19</v>
      </c>
      <c r="J161" s="13" t="s">
        <v>20</v>
      </c>
      <c r="K161" s="14" t="s">
        <v>338</v>
      </c>
      <c r="L161" s="66">
        <v>5</v>
      </c>
      <c r="M161" s="44">
        <v>10</v>
      </c>
      <c r="N161" s="43" t="s">
        <v>18</v>
      </c>
      <c r="O161" s="38">
        <v>7.0000000000000007E-2</v>
      </c>
      <c r="P161" s="40">
        <f>F161-(F161*O161)</f>
        <v>1395.0000003534001</v>
      </c>
      <c r="Q161" s="29">
        <v>100</v>
      </c>
      <c r="R161" s="37">
        <v>0.15</v>
      </c>
      <c r="S161" s="41">
        <f>F161-(F161*R161)</f>
        <v>1275.000000323</v>
      </c>
      <c r="T161" s="31">
        <v>500</v>
      </c>
      <c r="U161" s="39">
        <v>0.2</v>
      </c>
      <c r="V161" s="42">
        <f>F161-(F161*U161)</f>
        <v>1200.000000304</v>
      </c>
      <c r="W161" s="60">
        <v>1000</v>
      </c>
      <c r="X161" s="61">
        <f t="shared" si="10"/>
        <v>0.25</v>
      </c>
      <c r="Y161" s="62">
        <f t="shared" si="11"/>
        <v>1125.0000002850002</v>
      </c>
    </row>
    <row r="162" spans="1:25" ht="14.25" customHeight="1" x14ac:dyDescent="0.25">
      <c r="A162" s="7">
        <v>3032041</v>
      </c>
      <c r="B162" s="14" t="s">
        <v>339</v>
      </c>
      <c r="C162" s="9">
        <v>6143</v>
      </c>
      <c r="D162" s="10">
        <v>1399.9992999999999</v>
      </c>
      <c r="E162" s="34">
        <v>1142.00000054</v>
      </c>
      <c r="F162" s="34">
        <v>1500.0000003800001</v>
      </c>
      <c r="G162" s="11"/>
      <c r="H162" s="12" t="s">
        <v>18</v>
      </c>
      <c r="I162" s="12" t="s">
        <v>19</v>
      </c>
      <c r="J162" s="13" t="s">
        <v>20</v>
      </c>
      <c r="K162" s="14" t="s">
        <v>340</v>
      </c>
      <c r="L162" s="66">
        <v>5</v>
      </c>
      <c r="M162" s="44">
        <v>10</v>
      </c>
      <c r="N162" s="43" t="s">
        <v>18</v>
      </c>
      <c r="O162" s="38">
        <v>7.0000000000000007E-2</v>
      </c>
      <c r="P162" s="40">
        <f>F162-(F162*O162)</f>
        <v>1395.0000003534001</v>
      </c>
      <c r="Q162" s="29">
        <v>100</v>
      </c>
      <c r="R162" s="37">
        <v>0.15</v>
      </c>
      <c r="S162" s="41">
        <f>F162-(F162*R162)</f>
        <v>1275.000000323</v>
      </c>
      <c r="T162" s="31">
        <v>500</v>
      </c>
      <c r="U162" s="39">
        <v>0.2</v>
      </c>
      <c r="V162" s="42">
        <f>F162-(F162*U162)</f>
        <v>1200.000000304</v>
      </c>
      <c r="W162" s="60">
        <v>1000</v>
      </c>
      <c r="X162" s="61">
        <f t="shared" si="10"/>
        <v>0.25</v>
      </c>
      <c r="Y162" s="62">
        <f t="shared" si="11"/>
        <v>1125.0000002850002</v>
      </c>
    </row>
    <row r="163" spans="1:25" ht="14.25" customHeight="1" x14ac:dyDescent="0.25">
      <c r="A163" s="7">
        <v>3032017</v>
      </c>
      <c r="B163" s="14" t="s">
        <v>341</v>
      </c>
      <c r="C163" s="9">
        <v>2893</v>
      </c>
      <c r="D163" s="10">
        <v>2499.9996000000001</v>
      </c>
      <c r="E163" s="34">
        <v>2325.00000047</v>
      </c>
      <c r="F163" s="34">
        <v>2799.9985999999999</v>
      </c>
      <c r="G163" s="11"/>
      <c r="H163" s="12" t="s">
        <v>18</v>
      </c>
      <c r="I163" s="12" t="s">
        <v>19</v>
      </c>
      <c r="J163" s="13" t="s">
        <v>20</v>
      </c>
      <c r="K163" s="14" t="s">
        <v>342</v>
      </c>
      <c r="L163" s="66">
        <v>5</v>
      </c>
      <c r="M163" s="44">
        <v>5</v>
      </c>
      <c r="N163" s="43" t="s">
        <v>18</v>
      </c>
      <c r="O163" s="38">
        <v>7.0000000000000007E-2</v>
      </c>
      <c r="P163" s="40">
        <f>F163-(F163*O163)</f>
        <v>2603.9986979999999</v>
      </c>
      <c r="Q163" s="29">
        <v>100</v>
      </c>
      <c r="R163" s="37">
        <v>0.15</v>
      </c>
      <c r="S163" s="41">
        <f>F163-(F163*R163)</f>
        <v>2379.99881</v>
      </c>
      <c r="T163" s="31">
        <v>500</v>
      </c>
      <c r="U163" s="39">
        <v>0.2</v>
      </c>
      <c r="V163" s="42">
        <f>F163-(F163*U163)</f>
        <v>2239.9988800000001</v>
      </c>
      <c r="W163" s="60">
        <v>1000</v>
      </c>
      <c r="X163" s="61">
        <f t="shared" si="10"/>
        <v>0.25</v>
      </c>
      <c r="Y163" s="62">
        <f t="shared" si="11"/>
        <v>2099.9989500000001</v>
      </c>
    </row>
    <row r="164" spans="1:25" ht="14.25" customHeight="1" x14ac:dyDescent="0.25">
      <c r="A164" s="7">
        <v>3032027</v>
      </c>
      <c r="B164" s="20" t="s">
        <v>343</v>
      </c>
      <c r="C164" s="9">
        <v>3105</v>
      </c>
      <c r="D164" s="21">
        <v>2899.9942999999998</v>
      </c>
      <c r="E164" s="35">
        <v>2900.0000000999999</v>
      </c>
      <c r="F164" s="35">
        <v>3200.0052000000001</v>
      </c>
      <c r="G164" s="22"/>
      <c r="H164" s="12" t="s">
        <v>18</v>
      </c>
      <c r="I164" s="12" t="s">
        <v>206</v>
      </c>
      <c r="J164" s="13" t="s">
        <v>207</v>
      </c>
      <c r="K164" s="14" t="s">
        <v>344</v>
      </c>
      <c r="L164" s="66">
        <v>5</v>
      </c>
      <c r="M164" s="44">
        <v>5</v>
      </c>
      <c r="N164" s="43" t="s">
        <v>18</v>
      </c>
      <c r="O164" s="38">
        <v>7.0000000000000007E-2</v>
      </c>
      <c r="P164" s="40">
        <f>F164-(F164*O164)</f>
        <v>2976.0048360000001</v>
      </c>
      <c r="Q164" s="29">
        <v>100</v>
      </c>
      <c r="R164" s="37">
        <v>0.15</v>
      </c>
      <c r="S164" s="41">
        <f>F164-(F164*R164)</f>
        <v>2720.0044200000002</v>
      </c>
      <c r="T164" s="31">
        <v>200</v>
      </c>
      <c r="U164" s="39">
        <v>0.2</v>
      </c>
      <c r="V164" s="42">
        <f>F164-(F164*U164)</f>
        <v>2560.00416</v>
      </c>
      <c r="W164" s="60">
        <v>500</v>
      </c>
      <c r="X164" s="61">
        <f t="shared" si="10"/>
        <v>0.25</v>
      </c>
      <c r="Y164" s="62">
        <f t="shared" si="11"/>
        <v>2400.0039000000002</v>
      </c>
    </row>
    <row r="165" spans="1:25" ht="14.25" customHeight="1" x14ac:dyDescent="0.25">
      <c r="A165" s="7">
        <v>3032014</v>
      </c>
      <c r="B165" s="14" t="s">
        <v>345</v>
      </c>
      <c r="C165" s="9">
        <v>3150</v>
      </c>
      <c r="D165" s="10">
        <v>2899.9942999999998</v>
      </c>
      <c r="E165" s="34">
        <v>2900.0000000999999</v>
      </c>
      <c r="F165" s="34">
        <v>3200.0052000000001</v>
      </c>
      <c r="G165" s="11"/>
      <c r="H165" s="12" t="s">
        <v>18</v>
      </c>
      <c r="I165" s="12" t="s">
        <v>206</v>
      </c>
      <c r="J165" s="13" t="s">
        <v>207</v>
      </c>
      <c r="K165" s="14" t="s">
        <v>346</v>
      </c>
      <c r="L165" s="66">
        <v>5</v>
      </c>
      <c r="M165" s="44">
        <v>5</v>
      </c>
      <c r="N165" s="43" t="s">
        <v>18</v>
      </c>
      <c r="O165" s="38">
        <v>7.0000000000000007E-2</v>
      </c>
      <c r="P165" s="40">
        <f>F165-(F165*O165)</f>
        <v>2976.0048360000001</v>
      </c>
      <c r="Q165" s="29">
        <v>100</v>
      </c>
      <c r="R165" s="37">
        <v>0.15</v>
      </c>
      <c r="S165" s="41">
        <f>F165-(F165*R165)</f>
        <v>2720.0044200000002</v>
      </c>
      <c r="T165" s="31">
        <v>200</v>
      </c>
      <c r="U165" s="39">
        <v>0.2</v>
      </c>
      <c r="V165" s="42">
        <f>F165-(F165*U165)</f>
        <v>2560.00416</v>
      </c>
      <c r="W165" s="60">
        <v>500</v>
      </c>
      <c r="X165" s="61">
        <f t="shared" si="10"/>
        <v>0.25</v>
      </c>
      <c r="Y165" s="62">
        <f t="shared" si="11"/>
        <v>2400.0039000000002</v>
      </c>
    </row>
    <row r="166" spans="1:25" ht="14.25" customHeight="1" x14ac:dyDescent="0.25">
      <c r="A166" s="19">
        <v>3031921</v>
      </c>
      <c r="B166" s="14" t="s">
        <v>347</v>
      </c>
      <c r="C166" s="9">
        <v>34</v>
      </c>
      <c r="D166" s="10">
        <v>11999.995699999999</v>
      </c>
      <c r="E166" s="34">
        <v>11999.995699999999</v>
      </c>
      <c r="F166" s="34">
        <v>13800.0016</v>
      </c>
      <c r="G166" s="11"/>
      <c r="H166" s="12"/>
      <c r="I166" s="12"/>
      <c r="J166" s="13"/>
      <c r="K166" s="14" t="s">
        <v>348</v>
      </c>
      <c r="L166" s="66">
        <v>1</v>
      </c>
      <c r="M166" s="44">
        <v>1</v>
      </c>
      <c r="N166" s="43" t="s">
        <v>80</v>
      </c>
      <c r="O166" s="38">
        <v>7.0000000000000007E-2</v>
      </c>
      <c r="P166" s="40">
        <f>F166-(F166*O166)</f>
        <v>12834.001488</v>
      </c>
      <c r="Q166" s="29">
        <v>20</v>
      </c>
      <c r="R166" s="37">
        <v>0.15</v>
      </c>
      <c r="S166" s="41">
        <f>F166-(F166*R166)</f>
        <v>11730.00136</v>
      </c>
      <c r="T166" s="31">
        <v>30</v>
      </c>
      <c r="U166" s="39">
        <v>0.2</v>
      </c>
      <c r="V166" s="42">
        <f>F166-(F166*U166)</f>
        <v>11040.00128</v>
      </c>
      <c r="W166" s="60">
        <v>50</v>
      </c>
      <c r="X166" s="61">
        <f t="shared" si="10"/>
        <v>0.25</v>
      </c>
      <c r="Y166" s="62">
        <f t="shared" si="11"/>
        <v>10350.001199999999</v>
      </c>
    </row>
    <row r="167" spans="1:25" ht="14.25" customHeight="1" x14ac:dyDescent="0.25">
      <c r="A167" s="7">
        <v>3032058</v>
      </c>
      <c r="B167" s="14" t="s">
        <v>351</v>
      </c>
      <c r="C167" s="9">
        <v>88</v>
      </c>
      <c r="D167" s="10">
        <v>1249.9998000000001</v>
      </c>
      <c r="E167" s="34">
        <v>1038.00000052</v>
      </c>
      <c r="F167" s="34">
        <v>1350.00000058</v>
      </c>
      <c r="G167" s="11"/>
      <c r="H167" s="12" t="s">
        <v>18</v>
      </c>
      <c r="I167" s="12" t="s">
        <v>349</v>
      </c>
      <c r="J167" s="13" t="s">
        <v>350</v>
      </c>
      <c r="K167" s="14" t="s">
        <v>352</v>
      </c>
      <c r="L167" s="66">
        <v>5</v>
      </c>
      <c r="M167" s="44">
        <v>5</v>
      </c>
      <c r="N167" s="43" t="s">
        <v>18</v>
      </c>
      <c r="O167" s="38">
        <v>7.0000000000000007E-2</v>
      </c>
      <c r="P167" s="40">
        <f>F167-(F167*O167)</f>
        <v>1255.5000005393999</v>
      </c>
      <c r="Q167" s="29">
        <v>100</v>
      </c>
      <c r="R167" s="37">
        <v>0.15</v>
      </c>
      <c r="S167" s="41">
        <f>F167-(F167*R167)</f>
        <v>1147.500000493</v>
      </c>
      <c r="T167" s="31">
        <v>500</v>
      </c>
      <c r="U167" s="39">
        <v>0.2</v>
      </c>
      <c r="V167" s="42">
        <f>F167-(F167*U167)</f>
        <v>1080.0000004640001</v>
      </c>
      <c r="W167" s="60">
        <v>1000</v>
      </c>
      <c r="X167" s="61">
        <f t="shared" si="10"/>
        <v>0.25</v>
      </c>
      <c r="Y167" s="62">
        <f t="shared" si="11"/>
        <v>1012.5000004349999</v>
      </c>
    </row>
    <row r="168" spans="1:25" ht="14.25" customHeight="1" x14ac:dyDescent="0.25">
      <c r="A168" s="7">
        <v>3032053</v>
      </c>
      <c r="B168" s="14" t="s">
        <v>353</v>
      </c>
      <c r="C168" s="9">
        <v>3683</v>
      </c>
      <c r="D168" s="10">
        <v>1000.0046</v>
      </c>
      <c r="E168" s="34">
        <v>830.00000999999997</v>
      </c>
      <c r="F168" s="34">
        <v>1100.0002999999999</v>
      </c>
      <c r="G168" s="11"/>
      <c r="H168" s="12" t="s">
        <v>18</v>
      </c>
      <c r="I168" s="12" t="s">
        <v>349</v>
      </c>
      <c r="J168" s="13" t="s">
        <v>350</v>
      </c>
      <c r="K168" s="14" t="s">
        <v>354</v>
      </c>
      <c r="L168" s="66">
        <v>5</v>
      </c>
      <c r="M168" s="44">
        <v>10</v>
      </c>
      <c r="N168" s="43" t="s">
        <v>18</v>
      </c>
      <c r="O168" s="38">
        <v>7.0000000000000007E-2</v>
      </c>
      <c r="P168" s="40">
        <f>F168-(F168*O168)</f>
        <v>1023.0002789999999</v>
      </c>
      <c r="Q168" s="29">
        <v>100</v>
      </c>
      <c r="R168" s="37">
        <v>0.15</v>
      </c>
      <c r="S168" s="41">
        <f>F168-(F168*R168)</f>
        <v>935.00025499999992</v>
      </c>
      <c r="T168" s="31">
        <v>500</v>
      </c>
      <c r="U168" s="39">
        <v>0.2</v>
      </c>
      <c r="V168" s="42">
        <f>F168-(F168*U168)</f>
        <v>880.00023999999996</v>
      </c>
      <c r="W168" s="60">
        <v>1000</v>
      </c>
      <c r="X168" s="61">
        <f t="shared" si="10"/>
        <v>0.25</v>
      </c>
      <c r="Y168" s="62">
        <f t="shared" si="11"/>
        <v>825.000225</v>
      </c>
    </row>
    <row r="169" spans="1:25" ht="14.25" customHeight="1" x14ac:dyDescent="0.25">
      <c r="A169" s="7">
        <v>3032051</v>
      </c>
      <c r="B169" s="14" t="s">
        <v>355</v>
      </c>
      <c r="C169" s="9">
        <v>1593</v>
      </c>
      <c r="D169" s="10">
        <v>1000.0046</v>
      </c>
      <c r="E169" s="34">
        <v>830.00000048000004</v>
      </c>
      <c r="F169" s="34">
        <v>1100.0000001200001</v>
      </c>
      <c r="G169" s="11"/>
      <c r="H169" s="12" t="s">
        <v>18</v>
      </c>
      <c r="I169" s="12" t="s">
        <v>349</v>
      </c>
      <c r="J169" s="13" t="s">
        <v>350</v>
      </c>
      <c r="K169" s="14" t="s">
        <v>356</v>
      </c>
      <c r="L169" s="66">
        <v>5</v>
      </c>
      <c r="M169" s="44">
        <v>10</v>
      </c>
      <c r="N169" s="43" t="s">
        <v>18</v>
      </c>
      <c r="O169" s="38">
        <v>7.0000000000000007E-2</v>
      </c>
      <c r="P169" s="40">
        <f>F169-(F169*O169)</f>
        <v>1023.0000001116001</v>
      </c>
      <c r="Q169" s="29">
        <v>100</v>
      </c>
      <c r="R169" s="37">
        <v>0.15</v>
      </c>
      <c r="S169" s="41">
        <f>F169-(F169*R169)</f>
        <v>935.00000010200006</v>
      </c>
      <c r="T169" s="31">
        <v>500</v>
      </c>
      <c r="U169" s="39">
        <v>0.2</v>
      </c>
      <c r="V169" s="42">
        <f>F169-(F169*U169)</f>
        <v>880.00000009600012</v>
      </c>
      <c r="W169" s="60">
        <v>1000</v>
      </c>
      <c r="X169" s="61">
        <f t="shared" si="10"/>
        <v>0.25</v>
      </c>
      <c r="Y169" s="62">
        <f t="shared" si="11"/>
        <v>825.00000009000007</v>
      </c>
    </row>
    <row r="170" spans="1:25" ht="14.25" customHeight="1" x14ac:dyDescent="0.25">
      <c r="A170" s="7">
        <v>3032050</v>
      </c>
      <c r="B170" s="14" t="s">
        <v>357</v>
      </c>
      <c r="C170" s="9">
        <v>19250</v>
      </c>
      <c r="D170" s="10">
        <v>1000.0046</v>
      </c>
      <c r="E170" s="34">
        <v>899.99699999999996</v>
      </c>
      <c r="F170" s="34">
        <v>1100.0000001200001</v>
      </c>
      <c r="G170" s="11"/>
      <c r="H170" s="12" t="s">
        <v>18</v>
      </c>
      <c r="I170" s="12" t="s">
        <v>349</v>
      </c>
      <c r="J170" s="13" t="s">
        <v>350</v>
      </c>
      <c r="K170" s="14" t="s">
        <v>358</v>
      </c>
      <c r="L170" s="66">
        <v>5</v>
      </c>
      <c r="M170" s="44">
        <v>10</v>
      </c>
      <c r="N170" s="43" t="s">
        <v>18</v>
      </c>
      <c r="O170" s="38">
        <v>7.0000000000000007E-2</v>
      </c>
      <c r="P170" s="40">
        <f>F170-(F170*O170)</f>
        <v>1023.0000001116001</v>
      </c>
      <c r="Q170" s="29">
        <v>100</v>
      </c>
      <c r="R170" s="37">
        <v>0.15</v>
      </c>
      <c r="S170" s="41">
        <f>F170-(F170*R170)</f>
        <v>935.00000010200006</v>
      </c>
      <c r="T170" s="31">
        <v>500</v>
      </c>
      <c r="U170" s="39">
        <v>0.2</v>
      </c>
      <c r="V170" s="42">
        <f>F170-(F170*U170)</f>
        <v>880.00000009600012</v>
      </c>
      <c r="W170" s="60">
        <v>1000</v>
      </c>
      <c r="X170" s="61">
        <f t="shared" si="10"/>
        <v>0.25</v>
      </c>
      <c r="Y170" s="62">
        <f t="shared" si="11"/>
        <v>825.00000009000007</v>
      </c>
    </row>
    <row r="171" spans="1:25" ht="14.25" customHeight="1" x14ac:dyDescent="0.25">
      <c r="A171" s="7">
        <v>3032052</v>
      </c>
      <c r="B171" s="14" t="s">
        <v>359</v>
      </c>
      <c r="C171" s="9">
        <v>50</v>
      </c>
      <c r="D171" s="10">
        <v>950.00080000000003</v>
      </c>
      <c r="E171" s="34">
        <v>854.99953000000005</v>
      </c>
      <c r="F171" s="34">
        <v>1100.0002999999999</v>
      </c>
      <c r="G171" s="11"/>
      <c r="H171" s="12" t="s">
        <v>18</v>
      </c>
      <c r="I171" s="12" t="s">
        <v>349</v>
      </c>
      <c r="J171" s="13" t="s">
        <v>350</v>
      </c>
      <c r="K171" s="14" t="s">
        <v>360</v>
      </c>
      <c r="L171" s="66">
        <v>5</v>
      </c>
      <c r="M171" s="44">
        <v>10</v>
      </c>
      <c r="N171" s="43" t="s">
        <v>18</v>
      </c>
      <c r="O171" s="38">
        <v>7.0000000000000007E-2</v>
      </c>
      <c r="P171" s="40">
        <f>F171-(F171*O171)</f>
        <v>1023.0002789999999</v>
      </c>
      <c r="Q171" s="29">
        <v>100</v>
      </c>
      <c r="R171" s="37">
        <v>0.15</v>
      </c>
      <c r="S171" s="41">
        <f>F171-(F171*R171)</f>
        <v>935.00025499999992</v>
      </c>
      <c r="T171" s="31">
        <v>500</v>
      </c>
      <c r="U171" s="39">
        <v>0.2</v>
      </c>
      <c r="V171" s="42">
        <f>F171-(F171*U171)</f>
        <v>880.00023999999996</v>
      </c>
      <c r="W171" s="60">
        <v>1000</v>
      </c>
      <c r="X171" s="61">
        <f t="shared" si="10"/>
        <v>0.25</v>
      </c>
      <c r="Y171" s="62">
        <f t="shared" si="11"/>
        <v>825.000225</v>
      </c>
    </row>
    <row r="172" spans="1:25" ht="14.25" customHeight="1" x14ac:dyDescent="0.25">
      <c r="A172" s="7">
        <v>3032059</v>
      </c>
      <c r="B172" s="14" t="s">
        <v>361</v>
      </c>
      <c r="C172" s="9">
        <v>0</v>
      </c>
      <c r="D172" s="10">
        <v>1000.0046</v>
      </c>
      <c r="E172" s="34">
        <v>830.00000999999997</v>
      </c>
      <c r="F172" s="34">
        <v>1100.0002999999999</v>
      </c>
      <c r="G172" s="11"/>
      <c r="H172" s="12" t="s">
        <v>18</v>
      </c>
      <c r="I172" s="12" t="s">
        <v>349</v>
      </c>
      <c r="J172" s="13" t="s">
        <v>350</v>
      </c>
      <c r="K172" s="14" t="s">
        <v>362</v>
      </c>
      <c r="L172" s="66">
        <v>5</v>
      </c>
      <c r="M172" s="44">
        <v>10</v>
      </c>
      <c r="N172" s="43" t="s">
        <v>18</v>
      </c>
      <c r="O172" s="38">
        <v>7.0000000000000007E-2</v>
      </c>
      <c r="P172" s="40">
        <f>F172-(F172*O172)</f>
        <v>1023.0002789999999</v>
      </c>
      <c r="Q172" s="29">
        <v>100</v>
      </c>
      <c r="R172" s="37">
        <v>0.15</v>
      </c>
      <c r="S172" s="41">
        <f>F172-(F172*R172)</f>
        <v>935.00025499999992</v>
      </c>
      <c r="T172" s="31">
        <v>500</v>
      </c>
      <c r="U172" s="39">
        <v>0.2</v>
      </c>
      <c r="V172" s="42">
        <f>F172-(F172*U172)</f>
        <v>880.00023999999996</v>
      </c>
      <c r="W172" s="60">
        <v>1000</v>
      </c>
      <c r="X172" s="61">
        <f t="shared" si="10"/>
        <v>0.25</v>
      </c>
      <c r="Y172" s="62">
        <f t="shared" si="11"/>
        <v>825.000225</v>
      </c>
    </row>
    <row r="173" spans="1:25" ht="14.25" customHeight="1" x14ac:dyDescent="0.25">
      <c r="A173" s="7">
        <v>3032055</v>
      </c>
      <c r="B173" s="14" t="s">
        <v>363</v>
      </c>
      <c r="C173" s="9">
        <v>1051</v>
      </c>
      <c r="D173" s="10">
        <v>1000.0046</v>
      </c>
      <c r="E173" s="34">
        <v>830.00000048000004</v>
      </c>
      <c r="F173" s="34">
        <v>1100.0000001200001</v>
      </c>
      <c r="G173" s="11"/>
      <c r="H173" s="12" t="s">
        <v>18</v>
      </c>
      <c r="I173" s="12" t="s">
        <v>349</v>
      </c>
      <c r="J173" s="13" t="s">
        <v>350</v>
      </c>
      <c r="K173" s="14" t="s">
        <v>364</v>
      </c>
      <c r="L173" s="66">
        <v>5</v>
      </c>
      <c r="M173" s="44">
        <v>5</v>
      </c>
      <c r="N173" s="43" t="s">
        <v>18</v>
      </c>
      <c r="O173" s="38">
        <v>7.0000000000000007E-2</v>
      </c>
      <c r="P173" s="40">
        <f>F173-(F173*O173)</f>
        <v>1023.0000001116001</v>
      </c>
      <c r="Q173" s="29">
        <v>100</v>
      </c>
      <c r="R173" s="37">
        <v>0.15</v>
      </c>
      <c r="S173" s="41">
        <f>F173-(F173*R173)</f>
        <v>935.00000010200006</v>
      </c>
      <c r="T173" s="31">
        <v>500</v>
      </c>
      <c r="U173" s="39">
        <v>0.2</v>
      </c>
      <c r="V173" s="42">
        <f>F173-(F173*U173)</f>
        <v>880.00000009600012</v>
      </c>
      <c r="W173" s="60">
        <v>1000</v>
      </c>
      <c r="X173" s="61">
        <f t="shared" si="10"/>
        <v>0.25</v>
      </c>
      <c r="Y173" s="62">
        <f t="shared" si="11"/>
        <v>825.00000009000007</v>
      </c>
    </row>
    <row r="174" spans="1:25" ht="14.25" customHeight="1" x14ac:dyDescent="0.25">
      <c r="A174" s="7">
        <v>3034000</v>
      </c>
      <c r="B174" s="14" t="s">
        <v>365</v>
      </c>
      <c r="C174" s="9">
        <v>1380</v>
      </c>
      <c r="D174" s="10">
        <v>4499.9969000000001</v>
      </c>
      <c r="E174" s="34">
        <v>3934.99999991</v>
      </c>
      <c r="F174" s="34">
        <v>4499.9969000000001</v>
      </c>
      <c r="G174" s="11"/>
      <c r="H174" s="12" t="s">
        <v>18</v>
      </c>
      <c r="I174" s="12" t="s">
        <v>206</v>
      </c>
      <c r="J174" s="13" t="s">
        <v>207</v>
      </c>
      <c r="K174" s="14" t="s">
        <v>366</v>
      </c>
      <c r="L174" s="66">
        <v>1</v>
      </c>
      <c r="M174" s="44">
        <v>5</v>
      </c>
      <c r="N174" s="43" t="s">
        <v>80</v>
      </c>
      <c r="O174" s="38">
        <v>7.0000000000000007E-2</v>
      </c>
      <c r="P174" s="40">
        <f>F174-(F174*O174)</f>
        <v>4184.9971169999999</v>
      </c>
      <c r="Q174" s="29">
        <v>20</v>
      </c>
      <c r="R174" s="37">
        <v>0.15</v>
      </c>
      <c r="S174" s="41">
        <f>F174-(F174*R174)</f>
        <v>3824.9973650000002</v>
      </c>
      <c r="T174" s="31">
        <v>40</v>
      </c>
      <c r="U174" s="39">
        <v>0.2</v>
      </c>
      <c r="V174" s="42">
        <f>F174-(F174*U174)</f>
        <v>3599.9975199999999</v>
      </c>
      <c r="W174" s="60">
        <v>80</v>
      </c>
      <c r="X174" s="61">
        <f t="shared" si="10"/>
        <v>0.25</v>
      </c>
      <c r="Y174" s="62">
        <f t="shared" si="11"/>
        <v>3374.9976750000001</v>
      </c>
    </row>
    <row r="175" spans="1:25" ht="14.25" customHeight="1" x14ac:dyDescent="0.25">
      <c r="A175" s="7">
        <v>3032065</v>
      </c>
      <c r="B175" s="14" t="s">
        <v>367</v>
      </c>
      <c r="C175" s="9">
        <v>250</v>
      </c>
      <c r="D175" s="10">
        <v>4900.0034999999998</v>
      </c>
      <c r="E175" s="34">
        <v>4900.0034999999998</v>
      </c>
      <c r="F175" s="34">
        <v>5599.9971999999998</v>
      </c>
      <c r="G175" s="11"/>
      <c r="H175" s="12" t="s">
        <v>18</v>
      </c>
      <c r="I175" s="12" t="s">
        <v>206</v>
      </c>
      <c r="J175" s="13" t="s">
        <v>207</v>
      </c>
      <c r="K175" s="14" t="s">
        <v>368</v>
      </c>
      <c r="L175" s="66">
        <v>1</v>
      </c>
      <c r="M175" s="44">
        <v>5</v>
      </c>
      <c r="N175" s="43" t="s">
        <v>80</v>
      </c>
      <c r="O175" s="38">
        <v>7.0000000000000007E-2</v>
      </c>
      <c r="P175" s="40">
        <f>F175-(F175*O175)</f>
        <v>5207.9973959999998</v>
      </c>
      <c r="Q175" s="29">
        <v>20</v>
      </c>
      <c r="R175" s="37">
        <v>0.15</v>
      </c>
      <c r="S175" s="41">
        <f>F175-(F175*R175)</f>
        <v>4759.9976200000001</v>
      </c>
      <c r="T175" s="31">
        <v>40</v>
      </c>
      <c r="U175" s="39">
        <v>0.2</v>
      </c>
      <c r="V175" s="42">
        <f>F175-(F175*U175)</f>
        <v>4479.9977600000002</v>
      </c>
      <c r="W175" s="60">
        <v>80</v>
      </c>
      <c r="X175" s="61">
        <f t="shared" si="10"/>
        <v>0.25</v>
      </c>
      <c r="Y175" s="62">
        <f t="shared" si="11"/>
        <v>4199.9979000000003</v>
      </c>
    </row>
    <row r="176" spans="1:25" ht="14.25" customHeight="1" x14ac:dyDescent="0.25">
      <c r="C176" s="23"/>
      <c r="D176" s="10"/>
      <c r="H176" s="24"/>
      <c r="I176" s="24"/>
      <c r="J176" s="13"/>
    </row>
    <row r="177" spans="3:10" ht="14.25" customHeight="1" x14ac:dyDescent="0.25">
      <c r="C177" s="23"/>
      <c r="D177" s="10"/>
      <c r="H177" s="24"/>
      <c r="I177" s="24"/>
      <c r="J177" s="13"/>
    </row>
    <row r="178" spans="3:10" ht="14.25" customHeight="1" x14ac:dyDescent="0.25">
      <c r="C178" s="23"/>
      <c r="D178" s="10"/>
      <c r="H178" s="24"/>
      <c r="I178" s="24"/>
      <c r="J178" s="13"/>
    </row>
    <row r="179" spans="3:10" ht="14.25" customHeight="1" x14ac:dyDescent="0.25">
      <c r="C179" s="23"/>
      <c r="D179" s="10"/>
      <c r="H179" s="24"/>
      <c r="I179" s="24"/>
      <c r="J179" s="13"/>
    </row>
    <row r="180" spans="3:10" ht="14.25" customHeight="1" x14ac:dyDescent="0.25">
      <c r="C180" s="23"/>
      <c r="D180" s="10"/>
      <c r="H180" s="24"/>
      <c r="I180" s="24"/>
      <c r="J180" s="13"/>
    </row>
    <row r="181" spans="3:10" ht="14.25" customHeight="1" x14ac:dyDescent="0.25">
      <c r="C181" s="23"/>
      <c r="D181" s="10"/>
      <c r="H181" s="24"/>
      <c r="I181" s="24"/>
      <c r="J181" s="13"/>
    </row>
    <row r="182" spans="3:10" ht="14.25" customHeight="1" x14ac:dyDescent="0.25">
      <c r="C182" s="23"/>
      <c r="D182" s="10"/>
      <c r="H182" s="24"/>
      <c r="I182" s="24"/>
      <c r="J182" s="13"/>
    </row>
    <row r="183" spans="3:10" ht="14.25" customHeight="1" x14ac:dyDescent="0.25">
      <c r="C183" s="23"/>
      <c r="D183" s="10"/>
      <c r="H183" s="24"/>
      <c r="I183" s="24"/>
      <c r="J183" s="13"/>
    </row>
    <row r="184" spans="3:10" ht="14.25" customHeight="1" x14ac:dyDescent="0.25">
      <c r="C184" s="23"/>
      <c r="D184" s="10"/>
      <c r="H184" s="24"/>
      <c r="I184" s="24"/>
      <c r="J184" s="13"/>
    </row>
    <row r="185" spans="3:10" ht="14.25" customHeight="1" x14ac:dyDescent="0.25">
      <c r="C185" s="23"/>
      <c r="D185" s="10"/>
      <c r="H185" s="24"/>
      <c r="I185" s="24"/>
      <c r="J185" s="13"/>
    </row>
    <row r="186" spans="3:10" ht="14.25" customHeight="1" x14ac:dyDescent="0.25">
      <c r="C186" s="23"/>
      <c r="D186" s="10"/>
      <c r="H186" s="24"/>
      <c r="I186" s="24"/>
      <c r="J186" s="13"/>
    </row>
    <row r="187" spans="3:10" ht="14.25" customHeight="1" x14ac:dyDescent="0.25">
      <c r="C187" s="23"/>
      <c r="D187" s="10"/>
      <c r="H187" s="24"/>
      <c r="I187" s="24"/>
      <c r="J187" s="13"/>
    </row>
    <row r="188" spans="3:10" ht="14.25" customHeight="1" x14ac:dyDescent="0.25">
      <c r="C188" s="23"/>
      <c r="D188" s="10"/>
      <c r="H188" s="24"/>
      <c r="I188" s="24"/>
      <c r="J188" s="13"/>
    </row>
    <row r="189" spans="3:10" ht="14.25" customHeight="1" x14ac:dyDescent="0.25">
      <c r="C189" s="23"/>
      <c r="D189" s="10"/>
      <c r="H189" s="24"/>
      <c r="I189" s="24"/>
      <c r="J189" s="13"/>
    </row>
    <row r="190" spans="3:10" ht="14.25" customHeight="1" x14ac:dyDescent="0.25">
      <c r="C190" s="23"/>
      <c r="D190" s="10"/>
      <c r="H190" s="24"/>
      <c r="I190" s="24"/>
      <c r="J190" s="13"/>
    </row>
    <row r="191" spans="3:10" ht="14.25" customHeight="1" x14ac:dyDescent="0.25">
      <c r="C191" s="23"/>
      <c r="D191" s="10"/>
      <c r="H191" s="24"/>
      <c r="I191" s="24"/>
      <c r="J191" s="13"/>
    </row>
    <row r="192" spans="3:10" ht="14.25" customHeight="1" x14ac:dyDescent="0.25">
      <c r="C192" s="23"/>
      <c r="D192" s="10"/>
      <c r="H192" s="24"/>
      <c r="I192" s="24"/>
      <c r="J192" s="13"/>
    </row>
    <row r="193" spans="3:10" ht="14.25" customHeight="1" x14ac:dyDescent="0.25">
      <c r="C193" s="23"/>
      <c r="D193" s="10"/>
      <c r="H193" s="24"/>
      <c r="I193" s="24"/>
      <c r="J193" s="13"/>
    </row>
    <row r="194" spans="3:10" ht="14.25" customHeight="1" x14ac:dyDescent="0.25">
      <c r="C194" s="23"/>
      <c r="D194" s="10"/>
      <c r="H194" s="24"/>
      <c r="I194" s="24"/>
      <c r="J194" s="13"/>
    </row>
    <row r="195" spans="3:10" ht="14.25" customHeight="1" x14ac:dyDescent="0.25">
      <c r="C195" s="23"/>
      <c r="D195" s="10"/>
      <c r="H195" s="24"/>
      <c r="I195" s="24"/>
      <c r="J195" s="13"/>
    </row>
    <row r="196" spans="3:10" ht="14.25" customHeight="1" x14ac:dyDescent="0.25">
      <c r="C196" s="23"/>
      <c r="D196" s="10"/>
      <c r="H196" s="24"/>
      <c r="I196" s="24"/>
      <c r="J196" s="13"/>
    </row>
    <row r="197" spans="3:10" ht="14.25" customHeight="1" x14ac:dyDescent="0.25">
      <c r="C197" s="23"/>
      <c r="D197" s="10"/>
      <c r="H197" s="24"/>
      <c r="I197" s="24"/>
      <c r="J197" s="13"/>
    </row>
    <row r="198" spans="3:10" ht="14.25" customHeight="1" x14ac:dyDescent="0.25">
      <c r="C198" s="23"/>
      <c r="D198" s="10"/>
      <c r="H198" s="24"/>
      <c r="I198" s="24"/>
      <c r="J198" s="13"/>
    </row>
    <row r="199" spans="3:10" ht="14.25" customHeight="1" x14ac:dyDescent="0.25">
      <c r="C199" s="23"/>
      <c r="D199" s="10"/>
      <c r="H199" s="24"/>
      <c r="I199" s="24"/>
      <c r="J199" s="13"/>
    </row>
    <row r="200" spans="3:10" ht="14.25" customHeight="1" x14ac:dyDescent="0.25">
      <c r="C200" s="23"/>
      <c r="D200" s="10"/>
      <c r="H200" s="24"/>
      <c r="I200" s="24"/>
      <c r="J200" s="13"/>
    </row>
    <row r="201" spans="3:10" ht="14.25" customHeight="1" x14ac:dyDescent="0.25">
      <c r="C201" s="23"/>
      <c r="D201" s="10"/>
      <c r="H201" s="24"/>
      <c r="I201" s="24"/>
      <c r="J201" s="13"/>
    </row>
    <row r="202" spans="3:10" ht="14.25" customHeight="1" x14ac:dyDescent="0.25">
      <c r="C202" s="23"/>
      <c r="D202" s="10"/>
      <c r="H202" s="24"/>
      <c r="I202" s="24"/>
      <c r="J202" s="13"/>
    </row>
    <row r="203" spans="3:10" ht="14.25" customHeight="1" x14ac:dyDescent="0.25">
      <c r="C203" s="23"/>
      <c r="D203" s="10"/>
      <c r="H203" s="24"/>
      <c r="I203" s="24"/>
      <c r="J203" s="13"/>
    </row>
    <row r="204" spans="3:10" ht="14.25" customHeight="1" x14ac:dyDescent="0.25">
      <c r="C204" s="23"/>
      <c r="D204" s="10"/>
      <c r="H204" s="24"/>
      <c r="I204" s="24"/>
      <c r="J204" s="13"/>
    </row>
    <row r="205" spans="3:10" ht="14.25" customHeight="1" x14ac:dyDescent="0.25">
      <c r="C205" s="23"/>
      <c r="D205" s="10"/>
      <c r="H205" s="24"/>
      <c r="I205" s="24"/>
      <c r="J205" s="13"/>
    </row>
    <row r="206" spans="3:10" ht="14.25" customHeight="1" x14ac:dyDescent="0.25">
      <c r="C206" s="23"/>
      <c r="D206" s="10"/>
      <c r="H206" s="24"/>
      <c r="I206" s="24"/>
      <c r="J206" s="13"/>
    </row>
    <row r="207" spans="3:10" ht="14.25" customHeight="1" x14ac:dyDescent="0.25">
      <c r="C207" s="23"/>
      <c r="D207" s="10"/>
      <c r="H207" s="24"/>
      <c r="I207" s="24"/>
      <c r="J207" s="13"/>
    </row>
    <row r="208" spans="3:10" ht="14.25" customHeight="1" x14ac:dyDescent="0.25">
      <c r="C208" s="23"/>
      <c r="D208" s="10"/>
      <c r="H208" s="24"/>
      <c r="I208" s="24"/>
      <c r="J208" s="13"/>
    </row>
    <row r="209" spans="3:10" ht="14.25" customHeight="1" x14ac:dyDescent="0.25">
      <c r="C209" s="23"/>
      <c r="D209" s="10"/>
      <c r="H209" s="24"/>
      <c r="I209" s="24"/>
      <c r="J209" s="13"/>
    </row>
    <row r="210" spans="3:10" ht="14.25" customHeight="1" x14ac:dyDescent="0.25">
      <c r="C210" s="23"/>
      <c r="D210" s="10"/>
      <c r="H210" s="24"/>
      <c r="I210" s="24"/>
      <c r="J210" s="13"/>
    </row>
    <row r="211" spans="3:10" ht="14.25" customHeight="1" x14ac:dyDescent="0.25">
      <c r="C211" s="23"/>
      <c r="D211" s="10"/>
      <c r="H211" s="24"/>
      <c r="I211" s="24"/>
      <c r="J211" s="13"/>
    </row>
    <row r="212" spans="3:10" ht="14.25" customHeight="1" x14ac:dyDescent="0.25">
      <c r="C212" s="23"/>
      <c r="D212" s="10"/>
      <c r="H212" s="24"/>
      <c r="I212" s="24"/>
      <c r="J212" s="13"/>
    </row>
    <row r="213" spans="3:10" ht="14.25" customHeight="1" x14ac:dyDescent="0.25">
      <c r="C213" s="23"/>
      <c r="D213" s="10"/>
      <c r="H213" s="24"/>
      <c r="I213" s="24"/>
      <c r="J213" s="13"/>
    </row>
    <row r="214" spans="3:10" ht="14.25" customHeight="1" x14ac:dyDescent="0.25">
      <c r="C214" s="23"/>
      <c r="D214" s="10"/>
      <c r="H214" s="24"/>
      <c r="I214" s="24"/>
      <c r="J214" s="13"/>
    </row>
    <row r="215" spans="3:10" ht="14.25" customHeight="1" x14ac:dyDescent="0.25">
      <c r="C215" s="23"/>
      <c r="D215" s="10"/>
      <c r="H215" s="24"/>
      <c r="I215" s="24"/>
      <c r="J215" s="13"/>
    </row>
    <row r="216" spans="3:10" ht="14.25" customHeight="1" x14ac:dyDescent="0.25">
      <c r="C216" s="23"/>
      <c r="D216" s="10"/>
      <c r="H216" s="24"/>
      <c r="I216" s="24"/>
      <c r="J216" s="13"/>
    </row>
    <row r="217" spans="3:10" ht="14.25" customHeight="1" x14ac:dyDescent="0.25">
      <c r="C217" s="23"/>
      <c r="D217" s="10"/>
      <c r="H217" s="24"/>
      <c r="I217" s="24"/>
      <c r="J217" s="13"/>
    </row>
    <row r="218" spans="3:10" ht="14.25" customHeight="1" x14ac:dyDescent="0.25">
      <c r="C218" s="23"/>
      <c r="D218" s="10"/>
      <c r="H218" s="24"/>
      <c r="I218" s="24"/>
      <c r="J218" s="13"/>
    </row>
    <row r="219" spans="3:10" ht="14.25" customHeight="1" x14ac:dyDescent="0.25">
      <c r="C219" s="23"/>
      <c r="D219" s="10"/>
      <c r="H219" s="24"/>
      <c r="I219" s="24"/>
      <c r="J219" s="13"/>
    </row>
    <row r="220" spans="3:10" ht="14.25" customHeight="1" x14ac:dyDescent="0.25">
      <c r="C220" s="23"/>
      <c r="D220" s="10"/>
      <c r="H220" s="24"/>
      <c r="I220" s="24"/>
      <c r="J220" s="13"/>
    </row>
    <row r="221" spans="3:10" ht="14.25" customHeight="1" x14ac:dyDescent="0.25">
      <c r="C221" s="23"/>
      <c r="D221" s="10"/>
      <c r="H221" s="24"/>
      <c r="I221" s="24"/>
      <c r="J221" s="13"/>
    </row>
    <row r="222" spans="3:10" ht="14.25" customHeight="1" x14ac:dyDescent="0.25">
      <c r="C222" s="23"/>
      <c r="D222" s="10"/>
      <c r="H222" s="24"/>
      <c r="I222" s="24"/>
      <c r="J222" s="13"/>
    </row>
    <row r="223" spans="3:10" ht="14.25" customHeight="1" x14ac:dyDescent="0.25">
      <c r="C223" s="23"/>
      <c r="D223" s="10"/>
      <c r="H223" s="24"/>
      <c r="I223" s="24"/>
      <c r="J223" s="13"/>
    </row>
    <row r="224" spans="3:10" ht="14.25" customHeight="1" x14ac:dyDescent="0.25">
      <c r="C224" s="23"/>
      <c r="D224" s="10"/>
      <c r="H224" s="24"/>
      <c r="I224" s="24"/>
      <c r="J224" s="13"/>
    </row>
    <row r="225" spans="3:10" ht="14.25" customHeight="1" x14ac:dyDescent="0.25">
      <c r="C225" s="23"/>
      <c r="D225" s="10"/>
      <c r="H225" s="24"/>
      <c r="I225" s="24"/>
      <c r="J225" s="13"/>
    </row>
    <row r="226" spans="3:10" ht="14.25" customHeight="1" x14ac:dyDescent="0.25">
      <c r="C226" s="23"/>
      <c r="D226" s="10"/>
      <c r="H226" s="24"/>
      <c r="I226" s="24"/>
      <c r="J226" s="13"/>
    </row>
    <row r="227" spans="3:10" ht="14.25" customHeight="1" x14ac:dyDescent="0.25">
      <c r="C227" s="23"/>
      <c r="D227" s="10"/>
      <c r="H227" s="24"/>
      <c r="I227" s="24"/>
      <c r="J227" s="13"/>
    </row>
    <row r="228" spans="3:10" ht="14.25" customHeight="1" x14ac:dyDescent="0.25">
      <c r="C228" s="23"/>
      <c r="D228" s="10"/>
      <c r="H228" s="24"/>
      <c r="I228" s="24"/>
      <c r="J228" s="13"/>
    </row>
    <row r="229" spans="3:10" ht="14.25" customHeight="1" x14ac:dyDescent="0.25">
      <c r="C229" s="23"/>
      <c r="D229" s="10"/>
      <c r="H229" s="24"/>
      <c r="I229" s="24"/>
      <c r="J229" s="13"/>
    </row>
    <row r="230" spans="3:10" ht="14.25" customHeight="1" x14ac:dyDescent="0.25">
      <c r="C230" s="23"/>
      <c r="D230" s="10"/>
      <c r="H230" s="24"/>
      <c r="I230" s="24"/>
      <c r="J230" s="13"/>
    </row>
    <row r="231" spans="3:10" ht="14.25" customHeight="1" x14ac:dyDescent="0.25">
      <c r="C231" s="23"/>
      <c r="D231" s="10"/>
      <c r="H231" s="24"/>
      <c r="I231" s="24"/>
      <c r="J231" s="13"/>
    </row>
    <row r="232" spans="3:10" ht="14.25" customHeight="1" x14ac:dyDescent="0.25">
      <c r="C232" s="23"/>
      <c r="D232" s="10"/>
      <c r="H232" s="24"/>
      <c r="I232" s="24"/>
      <c r="J232" s="13"/>
    </row>
    <row r="233" spans="3:10" ht="14.25" customHeight="1" x14ac:dyDescent="0.25">
      <c r="C233" s="23"/>
      <c r="D233" s="10"/>
      <c r="H233" s="24"/>
      <c r="I233" s="24"/>
      <c r="J233" s="13"/>
    </row>
    <row r="234" spans="3:10" ht="14.25" customHeight="1" x14ac:dyDescent="0.25">
      <c r="C234" s="23"/>
      <c r="D234" s="10"/>
      <c r="H234" s="24"/>
      <c r="I234" s="24"/>
      <c r="J234" s="13"/>
    </row>
    <row r="235" spans="3:10" ht="14.25" customHeight="1" x14ac:dyDescent="0.25">
      <c r="C235" s="23"/>
      <c r="D235" s="10"/>
      <c r="H235" s="24"/>
      <c r="I235" s="24"/>
      <c r="J235" s="13"/>
    </row>
    <row r="236" spans="3:10" ht="14.25" customHeight="1" x14ac:dyDescent="0.25">
      <c r="C236" s="23"/>
      <c r="D236" s="10"/>
      <c r="H236" s="24"/>
      <c r="I236" s="24"/>
      <c r="J236" s="13"/>
    </row>
    <row r="237" spans="3:10" ht="14.25" customHeight="1" x14ac:dyDescent="0.25">
      <c r="C237" s="23"/>
      <c r="D237" s="10"/>
      <c r="H237" s="24"/>
      <c r="I237" s="24"/>
      <c r="J237" s="13"/>
    </row>
    <row r="238" spans="3:10" ht="14.25" customHeight="1" x14ac:dyDescent="0.25">
      <c r="C238" s="23"/>
      <c r="D238" s="10"/>
      <c r="H238" s="24"/>
      <c r="I238" s="24"/>
      <c r="J238" s="13"/>
    </row>
    <row r="239" spans="3:10" ht="14.25" customHeight="1" x14ac:dyDescent="0.25">
      <c r="C239" s="23"/>
      <c r="D239" s="10"/>
      <c r="H239" s="24"/>
      <c r="I239" s="24"/>
      <c r="J239" s="13"/>
    </row>
    <row r="240" spans="3:10" ht="14.25" customHeight="1" x14ac:dyDescent="0.25">
      <c r="C240" s="23"/>
      <c r="D240" s="10"/>
      <c r="H240" s="24"/>
      <c r="I240" s="24"/>
      <c r="J240" s="13"/>
    </row>
    <row r="241" spans="3:10" ht="14.25" customHeight="1" x14ac:dyDescent="0.25">
      <c r="C241" s="23"/>
      <c r="D241" s="10"/>
      <c r="H241" s="24"/>
      <c r="I241" s="24"/>
      <c r="J241" s="13"/>
    </row>
    <row r="242" spans="3:10" ht="14.25" customHeight="1" x14ac:dyDescent="0.25">
      <c r="C242" s="23"/>
      <c r="D242" s="10"/>
      <c r="H242" s="24"/>
      <c r="I242" s="24"/>
      <c r="J242" s="13"/>
    </row>
    <row r="243" spans="3:10" ht="14.25" customHeight="1" x14ac:dyDescent="0.25">
      <c r="C243" s="23"/>
      <c r="D243" s="10"/>
      <c r="H243" s="24"/>
      <c r="I243" s="24"/>
      <c r="J243" s="13"/>
    </row>
    <row r="244" spans="3:10" ht="14.25" customHeight="1" x14ac:dyDescent="0.25">
      <c r="C244" s="23"/>
      <c r="D244" s="10"/>
      <c r="H244" s="24"/>
      <c r="I244" s="24"/>
      <c r="J244" s="13"/>
    </row>
    <row r="245" spans="3:10" ht="14.25" customHeight="1" x14ac:dyDescent="0.25">
      <c r="C245" s="23"/>
      <c r="D245" s="10"/>
      <c r="H245" s="24"/>
      <c r="I245" s="24"/>
      <c r="J245" s="13"/>
    </row>
    <row r="246" spans="3:10" ht="14.25" customHeight="1" x14ac:dyDescent="0.25">
      <c r="C246" s="23"/>
      <c r="D246" s="10"/>
      <c r="H246" s="24"/>
      <c r="I246" s="24"/>
      <c r="J246" s="13"/>
    </row>
    <row r="247" spans="3:10" ht="14.25" customHeight="1" x14ac:dyDescent="0.25">
      <c r="C247" s="23"/>
      <c r="D247" s="10"/>
      <c r="H247" s="24"/>
      <c r="I247" s="24"/>
      <c r="J247" s="13"/>
    </row>
    <row r="248" spans="3:10" ht="14.25" customHeight="1" x14ac:dyDescent="0.25">
      <c r="C248" s="23"/>
      <c r="D248" s="10"/>
      <c r="H248" s="24"/>
      <c r="I248" s="24"/>
      <c r="J248" s="13"/>
    </row>
    <row r="249" spans="3:10" ht="14.25" customHeight="1" x14ac:dyDescent="0.25">
      <c r="C249" s="23"/>
      <c r="D249" s="10"/>
      <c r="H249" s="24"/>
      <c r="I249" s="24"/>
      <c r="J249" s="13"/>
    </row>
    <row r="250" spans="3:10" ht="14.25" customHeight="1" x14ac:dyDescent="0.25">
      <c r="C250" s="23"/>
      <c r="D250" s="10"/>
      <c r="H250" s="24"/>
      <c r="I250" s="24"/>
      <c r="J250" s="13"/>
    </row>
    <row r="251" spans="3:10" ht="14.25" customHeight="1" x14ac:dyDescent="0.25">
      <c r="C251" s="23"/>
      <c r="D251" s="10"/>
      <c r="H251" s="24"/>
      <c r="I251" s="24"/>
      <c r="J251" s="13"/>
    </row>
    <row r="252" spans="3:10" ht="14.25" customHeight="1" x14ac:dyDescent="0.25">
      <c r="C252" s="23"/>
      <c r="D252" s="10"/>
      <c r="H252" s="24"/>
      <c r="I252" s="24"/>
      <c r="J252" s="13"/>
    </row>
    <row r="253" spans="3:10" ht="14.25" customHeight="1" x14ac:dyDescent="0.25">
      <c r="C253" s="23"/>
      <c r="D253" s="10"/>
      <c r="H253" s="24"/>
      <c r="I253" s="24"/>
      <c r="J253" s="13"/>
    </row>
    <row r="254" spans="3:10" ht="14.25" customHeight="1" x14ac:dyDescent="0.25">
      <c r="C254" s="23"/>
      <c r="D254" s="10"/>
      <c r="H254" s="24"/>
      <c r="I254" s="24"/>
      <c r="J254" s="13"/>
    </row>
    <row r="255" spans="3:10" ht="14.25" customHeight="1" x14ac:dyDescent="0.25">
      <c r="C255" s="23"/>
      <c r="D255" s="10"/>
      <c r="H255" s="24"/>
      <c r="I255" s="24"/>
      <c r="J255" s="13"/>
    </row>
    <row r="256" spans="3:10" ht="14.25" customHeight="1" x14ac:dyDescent="0.25">
      <c r="C256" s="23"/>
      <c r="D256" s="10"/>
      <c r="H256" s="24"/>
      <c r="I256" s="24"/>
      <c r="J256" s="13"/>
    </row>
    <row r="257" spans="3:10" ht="14.25" customHeight="1" x14ac:dyDescent="0.25">
      <c r="C257" s="23"/>
      <c r="D257" s="10"/>
      <c r="H257" s="24"/>
      <c r="I257" s="24"/>
      <c r="J257" s="13"/>
    </row>
    <row r="258" spans="3:10" ht="14.25" customHeight="1" x14ac:dyDescent="0.25">
      <c r="C258" s="23"/>
      <c r="D258" s="10"/>
      <c r="H258" s="24"/>
      <c r="I258" s="24"/>
      <c r="J258" s="13"/>
    </row>
    <row r="259" spans="3:10" ht="14.25" customHeight="1" x14ac:dyDescent="0.25">
      <c r="C259" s="23"/>
      <c r="D259" s="10"/>
      <c r="H259" s="24"/>
      <c r="I259" s="24"/>
      <c r="J259" s="13"/>
    </row>
    <row r="260" spans="3:10" ht="14.25" customHeight="1" x14ac:dyDescent="0.25">
      <c r="C260" s="23"/>
      <c r="D260" s="10"/>
      <c r="H260" s="24"/>
      <c r="I260" s="24"/>
      <c r="J260" s="13"/>
    </row>
    <row r="261" spans="3:10" ht="14.25" customHeight="1" x14ac:dyDescent="0.25">
      <c r="C261" s="23"/>
      <c r="D261" s="10"/>
      <c r="H261" s="24"/>
      <c r="I261" s="24"/>
      <c r="J261" s="13"/>
    </row>
    <row r="262" spans="3:10" ht="14.25" customHeight="1" x14ac:dyDescent="0.25">
      <c r="C262" s="23"/>
      <c r="D262" s="10"/>
      <c r="H262" s="24"/>
      <c r="I262" s="24"/>
      <c r="J262" s="13"/>
    </row>
    <row r="263" spans="3:10" ht="14.25" customHeight="1" x14ac:dyDescent="0.25">
      <c r="C263" s="23"/>
      <c r="D263" s="10"/>
      <c r="H263" s="24"/>
      <c r="I263" s="24"/>
      <c r="J263" s="13"/>
    </row>
    <row r="264" spans="3:10" ht="14.25" customHeight="1" x14ac:dyDescent="0.25">
      <c r="C264" s="23"/>
      <c r="D264" s="10"/>
      <c r="H264" s="24"/>
      <c r="I264" s="24"/>
      <c r="J264" s="13"/>
    </row>
    <row r="265" spans="3:10" ht="14.25" customHeight="1" x14ac:dyDescent="0.25">
      <c r="C265" s="23"/>
      <c r="D265" s="10"/>
      <c r="H265" s="24"/>
      <c r="I265" s="24"/>
      <c r="J265" s="13"/>
    </row>
    <row r="266" spans="3:10" ht="14.25" customHeight="1" x14ac:dyDescent="0.25">
      <c r="C266" s="23"/>
      <c r="D266" s="10"/>
      <c r="H266" s="24"/>
      <c r="I266" s="24"/>
      <c r="J266" s="13"/>
    </row>
    <row r="267" spans="3:10" ht="14.25" customHeight="1" x14ac:dyDescent="0.25">
      <c r="C267" s="23"/>
      <c r="D267" s="10"/>
      <c r="H267" s="24"/>
      <c r="I267" s="24"/>
      <c r="J267" s="13"/>
    </row>
    <row r="268" spans="3:10" ht="14.25" customHeight="1" x14ac:dyDescent="0.25">
      <c r="C268" s="23"/>
      <c r="D268" s="10"/>
      <c r="H268" s="24"/>
      <c r="I268" s="24"/>
      <c r="J268" s="13"/>
    </row>
    <row r="269" spans="3:10" ht="14.25" customHeight="1" x14ac:dyDescent="0.25">
      <c r="C269" s="23"/>
      <c r="D269" s="10"/>
      <c r="H269" s="24"/>
      <c r="I269" s="24"/>
      <c r="J269" s="13"/>
    </row>
    <row r="270" spans="3:10" ht="14.25" customHeight="1" x14ac:dyDescent="0.25">
      <c r="C270" s="23"/>
      <c r="D270" s="10"/>
      <c r="H270" s="24"/>
      <c r="I270" s="24"/>
      <c r="J270" s="13"/>
    </row>
    <row r="271" spans="3:10" ht="14.25" customHeight="1" x14ac:dyDescent="0.25">
      <c r="C271" s="23"/>
      <c r="D271" s="10"/>
      <c r="H271" s="24"/>
      <c r="I271" s="24"/>
      <c r="J271" s="13"/>
    </row>
    <row r="272" spans="3:10" ht="14.25" customHeight="1" x14ac:dyDescent="0.25">
      <c r="C272" s="23"/>
      <c r="D272" s="10"/>
      <c r="H272" s="24"/>
      <c r="I272" s="24"/>
      <c r="J272" s="13"/>
    </row>
    <row r="273" spans="3:10" ht="14.25" customHeight="1" x14ac:dyDescent="0.25">
      <c r="C273" s="23"/>
      <c r="D273" s="10"/>
      <c r="H273" s="24"/>
      <c r="I273" s="24"/>
      <c r="J273" s="13"/>
    </row>
    <row r="274" spans="3:10" ht="14.25" customHeight="1" x14ac:dyDescent="0.25">
      <c r="C274" s="23"/>
      <c r="D274" s="10"/>
      <c r="H274" s="24"/>
      <c r="I274" s="24"/>
      <c r="J274" s="13"/>
    </row>
    <row r="275" spans="3:10" ht="14.25" customHeight="1" x14ac:dyDescent="0.25">
      <c r="C275" s="23"/>
      <c r="D275" s="10"/>
      <c r="H275" s="24"/>
      <c r="I275" s="24"/>
      <c r="J275" s="13"/>
    </row>
    <row r="276" spans="3:10" ht="14.25" customHeight="1" x14ac:dyDescent="0.25">
      <c r="C276" s="23"/>
      <c r="D276" s="10"/>
      <c r="H276" s="24"/>
      <c r="I276" s="24"/>
      <c r="J276" s="13"/>
    </row>
    <row r="277" spans="3:10" ht="14.25" customHeight="1" x14ac:dyDescent="0.25">
      <c r="C277" s="23"/>
      <c r="D277" s="10"/>
      <c r="H277" s="24"/>
      <c r="I277" s="24"/>
      <c r="J277" s="13"/>
    </row>
    <row r="278" spans="3:10" ht="14.25" customHeight="1" x14ac:dyDescent="0.25">
      <c r="C278" s="23"/>
      <c r="D278" s="10"/>
      <c r="H278" s="24"/>
      <c r="I278" s="24"/>
      <c r="J278" s="13"/>
    </row>
    <row r="279" spans="3:10" ht="14.25" customHeight="1" x14ac:dyDescent="0.25">
      <c r="C279" s="23"/>
      <c r="D279" s="10"/>
      <c r="H279" s="24"/>
      <c r="I279" s="24"/>
      <c r="J279" s="13"/>
    </row>
    <row r="280" spans="3:10" ht="14.25" customHeight="1" x14ac:dyDescent="0.25">
      <c r="C280" s="23"/>
      <c r="D280" s="10"/>
      <c r="H280" s="24"/>
      <c r="I280" s="24"/>
      <c r="J280" s="13"/>
    </row>
    <row r="281" spans="3:10" ht="14.25" customHeight="1" x14ac:dyDescent="0.25">
      <c r="C281" s="23"/>
      <c r="D281" s="10"/>
      <c r="H281" s="24"/>
      <c r="I281" s="24"/>
      <c r="J281" s="13"/>
    </row>
    <row r="282" spans="3:10" ht="14.25" customHeight="1" x14ac:dyDescent="0.25">
      <c r="C282" s="23"/>
      <c r="D282" s="10"/>
      <c r="H282" s="24"/>
      <c r="I282" s="24"/>
      <c r="J282" s="13"/>
    </row>
    <row r="283" spans="3:10" ht="14.25" customHeight="1" x14ac:dyDescent="0.25">
      <c r="C283" s="23"/>
      <c r="D283" s="10"/>
      <c r="H283" s="24"/>
      <c r="I283" s="24"/>
      <c r="J283" s="13"/>
    </row>
    <row r="284" spans="3:10" ht="14.25" customHeight="1" x14ac:dyDescent="0.25">
      <c r="C284" s="23"/>
      <c r="D284" s="10"/>
      <c r="H284" s="24"/>
      <c r="I284" s="24"/>
      <c r="J284" s="13"/>
    </row>
    <row r="285" spans="3:10" ht="14.25" customHeight="1" x14ac:dyDescent="0.25">
      <c r="C285" s="23"/>
      <c r="D285" s="10"/>
      <c r="H285" s="24"/>
      <c r="I285" s="24"/>
      <c r="J285" s="13"/>
    </row>
    <row r="286" spans="3:10" ht="14.25" customHeight="1" x14ac:dyDescent="0.25">
      <c r="C286" s="23"/>
      <c r="D286" s="10"/>
      <c r="H286" s="24"/>
      <c r="I286" s="24"/>
      <c r="J286" s="13"/>
    </row>
    <row r="287" spans="3:10" ht="14.25" customHeight="1" x14ac:dyDescent="0.25">
      <c r="C287" s="23"/>
      <c r="D287" s="10"/>
      <c r="H287" s="24"/>
      <c r="I287" s="24"/>
      <c r="J287" s="13"/>
    </row>
    <row r="288" spans="3:10" ht="14.25" customHeight="1" x14ac:dyDescent="0.25">
      <c r="C288" s="23"/>
      <c r="D288" s="10"/>
      <c r="H288" s="24"/>
      <c r="I288" s="24"/>
      <c r="J288" s="13"/>
    </row>
    <row r="289" spans="3:10" ht="14.25" customHeight="1" x14ac:dyDescent="0.25">
      <c r="C289" s="23"/>
      <c r="D289" s="10"/>
      <c r="H289" s="24"/>
      <c r="I289" s="24"/>
      <c r="J289" s="13"/>
    </row>
    <row r="290" spans="3:10" ht="14.25" customHeight="1" x14ac:dyDescent="0.25">
      <c r="C290" s="23"/>
      <c r="D290" s="10"/>
      <c r="H290" s="24"/>
      <c r="I290" s="24"/>
      <c r="J290" s="13"/>
    </row>
    <row r="291" spans="3:10" ht="14.25" customHeight="1" x14ac:dyDescent="0.25">
      <c r="C291" s="23"/>
      <c r="D291" s="10"/>
      <c r="H291" s="24"/>
      <c r="I291" s="24"/>
      <c r="J291" s="13"/>
    </row>
    <row r="292" spans="3:10" ht="14.25" customHeight="1" x14ac:dyDescent="0.25">
      <c r="C292" s="23"/>
      <c r="D292" s="10"/>
      <c r="H292" s="24"/>
      <c r="I292" s="24"/>
      <c r="J292" s="13"/>
    </row>
    <row r="293" spans="3:10" ht="14.25" customHeight="1" x14ac:dyDescent="0.25">
      <c r="C293" s="23"/>
      <c r="D293" s="10"/>
      <c r="H293" s="24"/>
      <c r="I293" s="24"/>
      <c r="J293" s="13"/>
    </row>
    <row r="294" spans="3:10" ht="14.25" customHeight="1" x14ac:dyDescent="0.25">
      <c r="C294" s="23"/>
      <c r="D294" s="10"/>
      <c r="H294" s="24"/>
      <c r="I294" s="24"/>
      <c r="J294" s="13"/>
    </row>
    <row r="295" spans="3:10" ht="14.25" customHeight="1" x14ac:dyDescent="0.25">
      <c r="C295" s="23"/>
      <c r="D295" s="10"/>
      <c r="H295" s="24"/>
      <c r="I295" s="24"/>
      <c r="J295" s="13"/>
    </row>
    <row r="296" spans="3:10" ht="14.25" customHeight="1" x14ac:dyDescent="0.25">
      <c r="C296" s="23"/>
      <c r="D296" s="10"/>
      <c r="H296" s="24"/>
      <c r="I296" s="24"/>
      <c r="J296" s="13"/>
    </row>
    <row r="297" spans="3:10" ht="14.25" customHeight="1" x14ac:dyDescent="0.25">
      <c r="C297" s="23"/>
      <c r="D297" s="10"/>
      <c r="H297" s="24"/>
      <c r="I297" s="24"/>
      <c r="J297" s="13"/>
    </row>
    <row r="298" spans="3:10" ht="14.25" customHeight="1" x14ac:dyDescent="0.25">
      <c r="C298" s="23"/>
      <c r="D298" s="10"/>
      <c r="H298" s="24"/>
      <c r="I298" s="24"/>
      <c r="J298" s="13"/>
    </row>
    <row r="299" spans="3:10" ht="14.25" customHeight="1" x14ac:dyDescent="0.25">
      <c r="C299" s="23"/>
      <c r="D299" s="10"/>
      <c r="H299" s="24"/>
      <c r="I299" s="24"/>
      <c r="J299" s="13"/>
    </row>
    <row r="300" spans="3:10" ht="14.25" customHeight="1" x14ac:dyDescent="0.25">
      <c r="C300" s="23"/>
      <c r="D300" s="10"/>
      <c r="H300" s="24"/>
      <c r="I300" s="24"/>
      <c r="J300" s="13"/>
    </row>
    <row r="301" spans="3:10" ht="14.25" customHeight="1" x14ac:dyDescent="0.25">
      <c r="C301" s="23"/>
      <c r="D301" s="10"/>
      <c r="H301" s="24"/>
      <c r="I301" s="24"/>
      <c r="J301" s="13"/>
    </row>
    <row r="302" spans="3:10" ht="14.25" customHeight="1" x14ac:dyDescent="0.25">
      <c r="C302" s="23"/>
      <c r="D302" s="10"/>
      <c r="H302" s="24"/>
      <c r="I302" s="24"/>
      <c r="J302" s="13"/>
    </row>
    <row r="303" spans="3:10" ht="14.25" customHeight="1" x14ac:dyDescent="0.25">
      <c r="C303" s="23"/>
      <c r="D303" s="10"/>
      <c r="H303" s="24"/>
      <c r="I303" s="24"/>
      <c r="J303" s="13"/>
    </row>
    <row r="304" spans="3:10" ht="14.25" customHeight="1" x14ac:dyDescent="0.25">
      <c r="C304" s="23"/>
      <c r="D304" s="10"/>
      <c r="H304" s="24"/>
      <c r="I304" s="24"/>
      <c r="J304" s="13"/>
    </row>
    <row r="305" spans="3:10" ht="14.25" customHeight="1" x14ac:dyDescent="0.25">
      <c r="C305" s="23"/>
      <c r="D305" s="10"/>
      <c r="H305" s="24"/>
      <c r="I305" s="24"/>
      <c r="J305" s="13"/>
    </row>
    <row r="306" spans="3:10" ht="14.25" customHeight="1" x14ac:dyDescent="0.25">
      <c r="C306" s="23"/>
      <c r="D306" s="10"/>
      <c r="H306" s="24"/>
      <c r="I306" s="24"/>
      <c r="J306" s="13"/>
    </row>
    <row r="307" spans="3:10" ht="14.25" customHeight="1" x14ac:dyDescent="0.25">
      <c r="C307" s="23"/>
      <c r="D307" s="10"/>
      <c r="H307" s="24"/>
      <c r="I307" s="24"/>
      <c r="J307" s="13"/>
    </row>
    <row r="308" spans="3:10" ht="14.25" customHeight="1" x14ac:dyDescent="0.25">
      <c r="C308" s="23"/>
      <c r="D308" s="10"/>
      <c r="H308" s="24"/>
      <c r="I308" s="24"/>
      <c r="J308" s="13"/>
    </row>
    <row r="309" spans="3:10" ht="14.25" customHeight="1" x14ac:dyDescent="0.25">
      <c r="C309" s="23"/>
      <c r="D309" s="10"/>
      <c r="H309" s="24"/>
      <c r="I309" s="24"/>
      <c r="J309" s="13"/>
    </row>
    <row r="310" spans="3:10" ht="14.25" customHeight="1" x14ac:dyDescent="0.25">
      <c r="C310" s="23"/>
      <c r="D310" s="10"/>
      <c r="H310" s="24"/>
      <c r="I310" s="24"/>
      <c r="J310" s="13"/>
    </row>
    <row r="311" spans="3:10" ht="14.25" customHeight="1" x14ac:dyDescent="0.25">
      <c r="C311" s="23"/>
      <c r="D311" s="10"/>
      <c r="H311" s="24"/>
      <c r="I311" s="24"/>
      <c r="J311" s="13"/>
    </row>
    <row r="312" spans="3:10" ht="14.25" customHeight="1" x14ac:dyDescent="0.25">
      <c r="C312" s="23"/>
      <c r="D312" s="10"/>
      <c r="H312" s="24"/>
      <c r="I312" s="24"/>
      <c r="J312" s="13"/>
    </row>
    <row r="313" spans="3:10" ht="14.25" customHeight="1" x14ac:dyDescent="0.25">
      <c r="C313" s="23"/>
      <c r="D313" s="10"/>
      <c r="H313" s="24"/>
      <c r="I313" s="24"/>
      <c r="J313" s="13"/>
    </row>
    <row r="314" spans="3:10" ht="14.25" customHeight="1" x14ac:dyDescent="0.25">
      <c r="C314" s="23"/>
      <c r="D314" s="10"/>
      <c r="H314" s="24"/>
      <c r="I314" s="24"/>
      <c r="J314" s="13"/>
    </row>
    <row r="315" spans="3:10" ht="14.25" customHeight="1" x14ac:dyDescent="0.25">
      <c r="C315" s="23"/>
      <c r="D315" s="10"/>
      <c r="H315" s="24"/>
      <c r="I315" s="24"/>
      <c r="J315" s="13"/>
    </row>
    <row r="316" spans="3:10" ht="14.25" customHeight="1" x14ac:dyDescent="0.25">
      <c r="C316" s="23"/>
      <c r="D316" s="10"/>
      <c r="H316" s="24"/>
      <c r="I316" s="24"/>
      <c r="J316" s="13"/>
    </row>
    <row r="317" spans="3:10" ht="14.25" customHeight="1" x14ac:dyDescent="0.25">
      <c r="C317" s="23"/>
      <c r="D317" s="10"/>
      <c r="H317" s="24"/>
      <c r="I317" s="24"/>
      <c r="J317" s="13"/>
    </row>
    <row r="318" spans="3:10" ht="14.25" customHeight="1" x14ac:dyDescent="0.25">
      <c r="C318" s="23"/>
      <c r="D318" s="10"/>
      <c r="H318" s="24"/>
      <c r="I318" s="24"/>
      <c r="J318" s="13"/>
    </row>
    <row r="319" spans="3:10" ht="14.25" customHeight="1" x14ac:dyDescent="0.25">
      <c r="C319" s="23"/>
      <c r="D319" s="10"/>
      <c r="H319" s="24"/>
      <c r="I319" s="24"/>
      <c r="J319" s="13"/>
    </row>
    <row r="320" spans="3:10" ht="14.25" customHeight="1" x14ac:dyDescent="0.25">
      <c r="C320" s="23"/>
      <c r="D320" s="10"/>
      <c r="H320" s="24"/>
      <c r="I320" s="24"/>
      <c r="J320" s="13"/>
    </row>
    <row r="321" spans="3:10" ht="14.25" customHeight="1" x14ac:dyDescent="0.25">
      <c r="C321" s="23"/>
      <c r="D321" s="10"/>
      <c r="H321" s="24"/>
      <c r="I321" s="24"/>
      <c r="J321" s="13"/>
    </row>
    <row r="322" spans="3:10" ht="14.25" customHeight="1" x14ac:dyDescent="0.25">
      <c r="C322" s="23"/>
      <c r="D322" s="10"/>
      <c r="H322" s="24"/>
      <c r="I322" s="24"/>
      <c r="J322" s="13"/>
    </row>
    <row r="323" spans="3:10" ht="14.25" customHeight="1" x14ac:dyDescent="0.25">
      <c r="C323" s="23"/>
      <c r="D323" s="10"/>
      <c r="H323" s="24"/>
      <c r="I323" s="24"/>
      <c r="J323" s="13"/>
    </row>
    <row r="324" spans="3:10" ht="14.25" customHeight="1" x14ac:dyDescent="0.25">
      <c r="C324" s="23"/>
      <c r="D324" s="10"/>
      <c r="H324" s="24"/>
      <c r="I324" s="24"/>
      <c r="J324" s="13"/>
    </row>
    <row r="325" spans="3:10" ht="14.25" customHeight="1" x14ac:dyDescent="0.25">
      <c r="C325" s="23"/>
      <c r="D325" s="10"/>
      <c r="H325" s="24"/>
      <c r="I325" s="24"/>
      <c r="J325" s="13"/>
    </row>
    <row r="326" spans="3:10" ht="14.25" customHeight="1" x14ac:dyDescent="0.25">
      <c r="C326" s="23"/>
      <c r="D326" s="10"/>
      <c r="H326" s="24"/>
      <c r="I326" s="24"/>
      <c r="J326" s="13"/>
    </row>
    <row r="327" spans="3:10" ht="14.25" customHeight="1" x14ac:dyDescent="0.25">
      <c r="C327" s="23"/>
      <c r="D327" s="10"/>
      <c r="H327" s="24"/>
      <c r="I327" s="24"/>
      <c r="J327" s="13"/>
    </row>
    <row r="328" spans="3:10" ht="14.25" customHeight="1" x14ac:dyDescent="0.25">
      <c r="C328" s="23"/>
      <c r="D328" s="10"/>
      <c r="H328" s="24"/>
      <c r="I328" s="24"/>
      <c r="J328" s="13"/>
    </row>
    <row r="329" spans="3:10" ht="14.25" customHeight="1" x14ac:dyDescent="0.25">
      <c r="C329" s="23"/>
      <c r="D329" s="10"/>
      <c r="H329" s="24"/>
      <c r="I329" s="24"/>
      <c r="J329" s="13"/>
    </row>
    <row r="330" spans="3:10" ht="14.25" customHeight="1" x14ac:dyDescent="0.25">
      <c r="C330" s="23"/>
      <c r="D330" s="10"/>
      <c r="H330" s="24"/>
      <c r="I330" s="24"/>
      <c r="J330" s="13"/>
    </row>
    <row r="331" spans="3:10" ht="14.25" customHeight="1" x14ac:dyDescent="0.25">
      <c r="C331" s="23"/>
      <c r="D331" s="10"/>
      <c r="H331" s="24"/>
      <c r="I331" s="24"/>
      <c r="J331" s="13"/>
    </row>
    <row r="332" spans="3:10" ht="14.25" customHeight="1" x14ac:dyDescent="0.25">
      <c r="C332" s="23"/>
      <c r="D332" s="10"/>
      <c r="H332" s="24"/>
      <c r="I332" s="24"/>
      <c r="J332" s="13"/>
    </row>
    <row r="333" spans="3:10" ht="14.25" customHeight="1" x14ac:dyDescent="0.25">
      <c r="C333" s="23"/>
      <c r="D333" s="10"/>
      <c r="H333" s="24"/>
      <c r="I333" s="24"/>
      <c r="J333" s="13"/>
    </row>
    <row r="334" spans="3:10" ht="14.25" customHeight="1" x14ac:dyDescent="0.25">
      <c r="C334" s="23"/>
      <c r="D334" s="10"/>
      <c r="H334" s="24"/>
      <c r="I334" s="24"/>
      <c r="J334" s="13"/>
    </row>
    <row r="335" spans="3:10" ht="14.25" customHeight="1" x14ac:dyDescent="0.25">
      <c r="C335" s="23"/>
      <c r="D335" s="10"/>
      <c r="H335" s="24"/>
      <c r="I335" s="24"/>
      <c r="J335" s="13"/>
    </row>
    <row r="336" spans="3:10" ht="14.25" customHeight="1" x14ac:dyDescent="0.25">
      <c r="C336" s="23"/>
      <c r="D336" s="10"/>
      <c r="H336" s="24"/>
      <c r="I336" s="24"/>
      <c r="J336" s="13"/>
    </row>
    <row r="337" spans="3:10" ht="14.25" customHeight="1" x14ac:dyDescent="0.25">
      <c r="C337" s="23"/>
      <c r="D337" s="10"/>
      <c r="H337" s="24"/>
      <c r="I337" s="24"/>
      <c r="J337" s="13"/>
    </row>
    <row r="338" spans="3:10" ht="14.25" customHeight="1" x14ac:dyDescent="0.25">
      <c r="C338" s="23"/>
      <c r="D338" s="10"/>
      <c r="H338" s="24"/>
      <c r="I338" s="24"/>
      <c r="J338" s="13"/>
    </row>
    <row r="339" spans="3:10" ht="14.25" customHeight="1" x14ac:dyDescent="0.25">
      <c r="C339" s="23"/>
      <c r="D339" s="10"/>
      <c r="H339" s="24"/>
      <c r="I339" s="24"/>
      <c r="J339" s="13"/>
    </row>
    <row r="340" spans="3:10" ht="14.25" customHeight="1" x14ac:dyDescent="0.25">
      <c r="C340" s="23"/>
      <c r="D340" s="10"/>
      <c r="H340" s="24"/>
      <c r="I340" s="24"/>
      <c r="J340" s="13"/>
    </row>
    <row r="341" spans="3:10" ht="14.25" customHeight="1" x14ac:dyDescent="0.25">
      <c r="C341" s="23"/>
      <c r="D341" s="10"/>
      <c r="H341" s="24"/>
      <c r="I341" s="24"/>
      <c r="J341" s="13"/>
    </row>
    <row r="342" spans="3:10" ht="14.25" customHeight="1" x14ac:dyDescent="0.25">
      <c r="C342" s="23"/>
      <c r="D342" s="10"/>
      <c r="H342" s="24"/>
      <c r="I342" s="24"/>
      <c r="J342" s="13"/>
    </row>
    <row r="343" spans="3:10" ht="14.25" customHeight="1" x14ac:dyDescent="0.25">
      <c r="C343" s="23"/>
      <c r="D343" s="10"/>
      <c r="H343" s="24"/>
      <c r="I343" s="24"/>
      <c r="J343" s="13"/>
    </row>
    <row r="344" spans="3:10" ht="14.25" customHeight="1" x14ac:dyDescent="0.25">
      <c r="C344" s="23"/>
      <c r="D344" s="10"/>
      <c r="H344" s="24"/>
      <c r="I344" s="24"/>
      <c r="J344" s="13"/>
    </row>
    <row r="345" spans="3:10" ht="14.25" customHeight="1" x14ac:dyDescent="0.25">
      <c r="C345" s="23"/>
      <c r="D345" s="10"/>
      <c r="H345" s="24"/>
      <c r="I345" s="24"/>
      <c r="J345" s="13"/>
    </row>
    <row r="346" spans="3:10" ht="14.25" customHeight="1" x14ac:dyDescent="0.25">
      <c r="C346" s="23"/>
      <c r="D346" s="10"/>
      <c r="H346" s="24"/>
      <c r="I346" s="24"/>
      <c r="J346" s="13"/>
    </row>
    <row r="347" spans="3:10" ht="14.25" customHeight="1" x14ac:dyDescent="0.25">
      <c r="C347" s="23"/>
      <c r="D347" s="10"/>
      <c r="H347" s="24"/>
      <c r="I347" s="24"/>
      <c r="J347" s="13"/>
    </row>
    <row r="348" spans="3:10" ht="14.25" customHeight="1" x14ac:dyDescent="0.25">
      <c r="C348" s="23"/>
      <c r="D348" s="10"/>
      <c r="H348" s="24"/>
      <c r="I348" s="24"/>
      <c r="J348" s="13"/>
    </row>
    <row r="349" spans="3:10" ht="14.25" customHeight="1" x14ac:dyDescent="0.25">
      <c r="C349" s="23"/>
      <c r="D349" s="10"/>
      <c r="H349" s="24"/>
      <c r="I349" s="24"/>
      <c r="J349" s="13"/>
    </row>
    <row r="350" spans="3:10" ht="14.25" customHeight="1" x14ac:dyDescent="0.25">
      <c r="C350" s="23"/>
      <c r="D350" s="10"/>
      <c r="H350" s="24"/>
      <c r="I350" s="24"/>
      <c r="J350" s="13"/>
    </row>
    <row r="351" spans="3:10" ht="14.25" customHeight="1" x14ac:dyDescent="0.25">
      <c r="C351" s="23"/>
      <c r="D351" s="10"/>
      <c r="H351" s="24"/>
      <c r="I351" s="24"/>
      <c r="J351" s="13"/>
    </row>
    <row r="352" spans="3:10" ht="14.25" customHeight="1" x14ac:dyDescent="0.25">
      <c r="C352" s="23"/>
      <c r="D352" s="10"/>
      <c r="H352" s="24"/>
      <c r="I352" s="24"/>
      <c r="J352" s="13"/>
    </row>
    <row r="353" spans="3:10" ht="14.25" customHeight="1" x14ac:dyDescent="0.25">
      <c r="C353" s="23"/>
      <c r="D353" s="10"/>
      <c r="H353" s="24"/>
      <c r="I353" s="24"/>
      <c r="J353" s="13"/>
    </row>
    <row r="354" spans="3:10" ht="14.25" customHeight="1" x14ac:dyDescent="0.25">
      <c r="C354" s="23"/>
      <c r="D354" s="10"/>
      <c r="H354" s="24"/>
      <c r="I354" s="24"/>
      <c r="J354" s="13"/>
    </row>
    <row r="355" spans="3:10" ht="14.25" customHeight="1" x14ac:dyDescent="0.25">
      <c r="C355" s="23"/>
      <c r="D355" s="10"/>
      <c r="H355" s="24"/>
      <c r="I355" s="24"/>
      <c r="J355" s="13"/>
    </row>
    <row r="356" spans="3:10" ht="14.25" customHeight="1" x14ac:dyDescent="0.25">
      <c r="C356" s="23"/>
      <c r="D356" s="10"/>
      <c r="H356" s="24"/>
      <c r="I356" s="24"/>
      <c r="J356" s="13"/>
    </row>
    <row r="357" spans="3:10" ht="14.25" customHeight="1" x14ac:dyDescent="0.25">
      <c r="C357" s="23"/>
      <c r="D357" s="10"/>
      <c r="H357" s="24"/>
      <c r="I357" s="24"/>
      <c r="J357" s="13"/>
    </row>
    <row r="358" spans="3:10" ht="14.25" customHeight="1" x14ac:dyDescent="0.25">
      <c r="C358" s="23"/>
      <c r="D358" s="10"/>
      <c r="H358" s="24"/>
      <c r="I358" s="24"/>
      <c r="J358" s="13"/>
    </row>
    <row r="359" spans="3:10" ht="14.25" customHeight="1" x14ac:dyDescent="0.25">
      <c r="C359" s="23"/>
      <c r="D359" s="10"/>
      <c r="H359" s="24"/>
      <c r="I359" s="24"/>
      <c r="J359" s="13"/>
    </row>
    <row r="360" spans="3:10" ht="14.25" customHeight="1" x14ac:dyDescent="0.25">
      <c r="C360" s="23"/>
      <c r="D360" s="10"/>
      <c r="H360" s="24"/>
      <c r="I360" s="24"/>
      <c r="J360" s="13"/>
    </row>
    <row r="361" spans="3:10" ht="14.25" customHeight="1" x14ac:dyDescent="0.25">
      <c r="C361" s="23"/>
      <c r="D361" s="10"/>
      <c r="H361" s="24"/>
      <c r="I361" s="24"/>
      <c r="J361" s="13"/>
    </row>
    <row r="362" spans="3:10" ht="14.25" customHeight="1" x14ac:dyDescent="0.25">
      <c r="C362" s="23"/>
      <c r="D362" s="10"/>
      <c r="H362" s="24"/>
      <c r="I362" s="24"/>
      <c r="J362" s="13"/>
    </row>
    <row r="363" spans="3:10" ht="14.25" customHeight="1" x14ac:dyDescent="0.25">
      <c r="C363" s="23"/>
      <c r="D363" s="10"/>
      <c r="H363" s="24"/>
      <c r="I363" s="24"/>
      <c r="J363" s="13"/>
    </row>
    <row r="364" spans="3:10" ht="14.25" customHeight="1" x14ac:dyDescent="0.25">
      <c r="C364" s="23"/>
      <c r="D364" s="10"/>
      <c r="H364" s="24"/>
      <c r="I364" s="24"/>
      <c r="J364" s="13"/>
    </row>
    <row r="365" spans="3:10" ht="14.25" customHeight="1" x14ac:dyDescent="0.25">
      <c r="C365" s="23"/>
      <c r="D365" s="10"/>
      <c r="H365" s="24"/>
      <c r="I365" s="24"/>
      <c r="J365" s="13"/>
    </row>
    <row r="366" spans="3:10" ht="14.25" customHeight="1" x14ac:dyDescent="0.25">
      <c r="C366" s="23"/>
      <c r="D366" s="10"/>
      <c r="H366" s="24"/>
      <c r="I366" s="24"/>
      <c r="J366" s="13"/>
    </row>
    <row r="367" spans="3:10" ht="14.25" customHeight="1" x14ac:dyDescent="0.25">
      <c r="C367" s="23"/>
      <c r="D367" s="10"/>
      <c r="H367" s="24"/>
      <c r="I367" s="24"/>
      <c r="J367" s="13"/>
    </row>
    <row r="368" spans="3:10" ht="14.25" customHeight="1" x14ac:dyDescent="0.25">
      <c r="C368" s="23"/>
      <c r="D368" s="10"/>
      <c r="H368" s="24"/>
      <c r="I368" s="24"/>
      <c r="J368" s="13"/>
    </row>
    <row r="369" spans="3:10" ht="14.25" customHeight="1" x14ac:dyDescent="0.25">
      <c r="C369" s="23"/>
      <c r="D369" s="10"/>
      <c r="H369" s="24"/>
      <c r="I369" s="24"/>
      <c r="J369" s="13"/>
    </row>
    <row r="370" spans="3:10" ht="14.25" customHeight="1" x14ac:dyDescent="0.25">
      <c r="C370" s="23"/>
      <c r="D370" s="10"/>
      <c r="H370" s="24"/>
      <c r="I370" s="24"/>
      <c r="J370" s="13"/>
    </row>
    <row r="371" spans="3:10" ht="14.25" customHeight="1" x14ac:dyDescent="0.25">
      <c r="C371" s="23"/>
      <c r="D371" s="10"/>
      <c r="H371" s="24"/>
      <c r="I371" s="24"/>
      <c r="J371" s="13"/>
    </row>
    <row r="372" spans="3:10" ht="14.25" customHeight="1" x14ac:dyDescent="0.25">
      <c r="C372" s="23"/>
      <c r="D372" s="10"/>
      <c r="H372" s="24"/>
      <c r="I372" s="24"/>
      <c r="J372" s="13"/>
    </row>
    <row r="373" spans="3:10" ht="14.25" customHeight="1" x14ac:dyDescent="0.25">
      <c r="C373" s="23"/>
      <c r="D373" s="10"/>
      <c r="H373" s="24"/>
      <c r="I373" s="24"/>
      <c r="J373" s="13"/>
    </row>
    <row r="374" spans="3:10" ht="14.25" customHeight="1" x14ac:dyDescent="0.25">
      <c r="C374" s="23"/>
      <c r="D374" s="10"/>
      <c r="H374" s="24"/>
      <c r="I374" s="24"/>
      <c r="J374" s="13"/>
    </row>
    <row r="375" spans="3:10" ht="14.25" customHeight="1" x14ac:dyDescent="0.25">
      <c r="C375" s="23"/>
      <c r="D375" s="10"/>
      <c r="H375" s="24"/>
      <c r="I375" s="24"/>
      <c r="J375" s="13"/>
    </row>
    <row r="376" spans="3:10" ht="14.25" customHeight="1" x14ac:dyDescent="0.25">
      <c r="C376" s="23"/>
      <c r="D376" s="10"/>
      <c r="H376" s="24"/>
      <c r="I376" s="24"/>
      <c r="J376" s="13"/>
    </row>
    <row r="377" spans="3:10" ht="14.25" customHeight="1" x14ac:dyDescent="0.25">
      <c r="C377" s="23"/>
      <c r="D377" s="10"/>
      <c r="H377" s="24"/>
      <c r="I377" s="24"/>
      <c r="J377" s="13"/>
    </row>
    <row r="378" spans="3:10" ht="14.25" customHeight="1" x14ac:dyDescent="0.25">
      <c r="C378" s="23"/>
      <c r="D378" s="10"/>
      <c r="H378" s="24"/>
      <c r="I378" s="24"/>
      <c r="J378" s="13"/>
    </row>
    <row r="379" spans="3:10" ht="14.25" customHeight="1" x14ac:dyDescent="0.25">
      <c r="C379" s="23"/>
      <c r="D379" s="10"/>
      <c r="H379" s="24"/>
      <c r="I379" s="24"/>
      <c r="J379" s="13"/>
    </row>
    <row r="380" spans="3:10" ht="14.25" customHeight="1" x14ac:dyDescent="0.25">
      <c r="C380" s="23"/>
      <c r="D380" s="10"/>
      <c r="H380" s="24"/>
      <c r="I380" s="24"/>
      <c r="J380" s="13"/>
    </row>
    <row r="381" spans="3:10" ht="14.25" customHeight="1" x14ac:dyDescent="0.25">
      <c r="C381" s="23"/>
      <c r="D381" s="10"/>
      <c r="H381" s="24"/>
      <c r="I381" s="24"/>
      <c r="J381" s="13"/>
    </row>
    <row r="382" spans="3:10" ht="14.25" customHeight="1" x14ac:dyDescent="0.25">
      <c r="C382" s="23"/>
      <c r="D382" s="10"/>
      <c r="H382" s="24"/>
      <c r="I382" s="24"/>
      <c r="J382" s="13"/>
    </row>
    <row r="383" spans="3:10" ht="14.25" customHeight="1" x14ac:dyDescent="0.25">
      <c r="C383" s="23"/>
      <c r="D383" s="10"/>
      <c r="H383" s="24"/>
      <c r="I383" s="24"/>
      <c r="J383" s="13"/>
    </row>
    <row r="384" spans="3:10" ht="14.25" customHeight="1" x14ac:dyDescent="0.25">
      <c r="C384" s="23"/>
      <c r="D384" s="10"/>
      <c r="H384" s="24"/>
      <c r="I384" s="24"/>
      <c r="J384" s="13"/>
    </row>
    <row r="385" spans="3:10" ht="14.25" customHeight="1" x14ac:dyDescent="0.25">
      <c r="C385" s="23"/>
      <c r="D385" s="10"/>
      <c r="H385" s="24"/>
      <c r="I385" s="24"/>
      <c r="J385" s="13"/>
    </row>
    <row r="386" spans="3:10" ht="14.25" customHeight="1" x14ac:dyDescent="0.25">
      <c r="C386" s="23"/>
      <c r="D386" s="10"/>
      <c r="H386" s="24"/>
      <c r="I386" s="24"/>
      <c r="J386" s="13"/>
    </row>
    <row r="387" spans="3:10" ht="14.25" customHeight="1" x14ac:dyDescent="0.25">
      <c r="C387" s="23"/>
      <c r="D387" s="10"/>
      <c r="H387" s="24"/>
      <c r="I387" s="24"/>
      <c r="J387" s="13"/>
    </row>
    <row r="388" spans="3:10" ht="14.25" customHeight="1" x14ac:dyDescent="0.25">
      <c r="C388" s="23"/>
      <c r="D388" s="10"/>
      <c r="H388" s="24"/>
      <c r="I388" s="24"/>
      <c r="J388" s="13"/>
    </row>
    <row r="389" spans="3:10" ht="14.25" customHeight="1" x14ac:dyDescent="0.25">
      <c r="C389" s="23"/>
      <c r="D389" s="10"/>
      <c r="H389" s="24"/>
      <c r="I389" s="24"/>
      <c r="J389" s="13"/>
    </row>
    <row r="390" spans="3:10" ht="14.25" customHeight="1" x14ac:dyDescent="0.25">
      <c r="C390" s="23"/>
      <c r="D390" s="10"/>
      <c r="H390" s="24"/>
      <c r="I390" s="24"/>
      <c r="J390" s="13"/>
    </row>
    <row r="391" spans="3:10" ht="14.25" customHeight="1" x14ac:dyDescent="0.25">
      <c r="C391" s="23"/>
      <c r="D391" s="10"/>
      <c r="H391" s="24"/>
      <c r="I391" s="24"/>
      <c r="J391" s="13"/>
    </row>
    <row r="392" spans="3:10" ht="14.25" customHeight="1" x14ac:dyDescent="0.25">
      <c r="C392" s="23"/>
      <c r="D392" s="10"/>
      <c r="H392" s="24"/>
      <c r="I392" s="24"/>
      <c r="J392" s="13"/>
    </row>
    <row r="393" spans="3:10" ht="14.25" customHeight="1" x14ac:dyDescent="0.25">
      <c r="C393" s="23"/>
      <c r="D393" s="10"/>
      <c r="H393" s="24"/>
      <c r="I393" s="24"/>
      <c r="J393" s="13"/>
    </row>
    <row r="394" spans="3:10" ht="14.25" customHeight="1" x14ac:dyDescent="0.25">
      <c r="C394" s="23"/>
      <c r="D394" s="10"/>
      <c r="H394" s="24"/>
      <c r="I394" s="24"/>
      <c r="J394" s="13"/>
    </row>
    <row r="395" spans="3:10" ht="14.25" customHeight="1" x14ac:dyDescent="0.25">
      <c r="C395" s="23"/>
      <c r="D395" s="10"/>
      <c r="H395" s="24"/>
      <c r="I395" s="24"/>
      <c r="J395" s="13"/>
    </row>
    <row r="396" spans="3:10" ht="14.25" customHeight="1" x14ac:dyDescent="0.25">
      <c r="C396" s="23"/>
      <c r="D396" s="10"/>
      <c r="H396" s="24"/>
      <c r="I396" s="24"/>
      <c r="J396" s="13"/>
    </row>
    <row r="397" spans="3:10" ht="14.25" customHeight="1" x14ac:dyDescent="0.25">
      <c r="C397" s="23"/>
      <c r="D397" s="10"/>
      <c r="H397" s="24"/>
      <c r="I397" s="24"/>
      <c r="J397" s="13"/>
    </row>
    <row r="398" spans="3:10" ht="14.25" customHeight="1" x14ac:dyDescent="0.25">
      <c r="C398" s="23"/>
      <c r="D398" s="10"/>
      <c r="H398" s="24"/>
      <c r="I398" s="24"/>
      <c r="J398" s="13"/>
    </row>
    <row r="399" spans="3:10" ht="14.25" customHeight="1" x14ac:dyDescent="0.25">
      <c r="C399" s="23"/>
      <c r="D399" s="10"/>
      <c r="H399" s="24"/>
      <c r="I399" s="24"/>
      <c r="J399" s="13"/>
    </row>
    <row r="400" spans="3:10" ht="14.25" customHeight="1" x14ac:dyDescent="0.25">
      <c r="C400" s="23"/>
      <c r="D400" s="10"/>
      <c r="H400" s="24"/>
      <c r="I400" s="24"/>
      <c r="J400" s="13"/>
    </row>
    <row r="401" spans="3:10" ht="14.25" customHeight="1" x14ac:dyDescent="0.25">
      <c r="C401" s="23"/>
      <c r="D401" s="10"/>
      <c r="H401" s="24"/>
      <c r="I401" s="24"/>
      <c r="J401" s="13"/>
    </row>
    <row r="402" spans="3:10" ht="14.25" customHeight="1" x14ac:dyDescent="0.25">
      <c r="C402" s="23"/>
      <c r="D402" s="10"/>
      <c r="H402" s="24"/>
      <c r="I402" s="24"/>
      <c r="J402" s="13"/>
    </row>
    <row r="403" spans="3:10" ht="14.25" customHeight="1" x14ac:dyDescent="0.25">
      <c r="C403" s="23"/>
      <c r="D403" s="10"/>
      <c r="H403" s="24"/>
      <c r="I403" s="24"/>
      <c r="J403" s="13"/>
    </row>
    <row r="404" spans="3:10" ht="14.25" customHeight="1" x14ac:dyDescent="0.25">
      <c r="C404" s="23"/>
      <c r="D404" s="10"/>
      <c r="H404" s="24"/>
      <c r="I404" s="24"/>
      <c r="J404" s="13"/>
    </row>
    <row r="405" spans="3:10" ht="14.25" customHeight="1" x14ac:dyDescent="0.25">
      <c r="C405" s="23"/>
      <c r="D405" s="10"/>
      <c r="H405" s="24"/>
      <c r="I405" s="24"/>
      <c r="J405" s="13"/>
    </row>
    <row r="406" spans="3:10" ht="14.25" customHeight="1" x14ac:dyDescent="0.25">
      <c r="C406" s="23"/>
      <c r="D406" s="10"/>
      <c r="H406" s="24"/>
      <c r="I406" s="24"/>
      <c r="J406" s="13"/>
    </row>
    <row r="407" spans="3:10" ht="14.25" customHeight="1" x14ac:dyDescent="0.25">
      <c r="C407" s="23"/>
      <c r="D407" s="10"/>
      <c r="H407" s="24"/>
      <c r="I407" s="24"/>
      <c r="J407" s="13"/>
    </row>
    <row r="408" spans="3:10" ht="14.25" customHeight="1" x14ac:dyDescent="0.25">
      <c r="C408" s="23"/>
      <c r="D408" s="10"/>
      <c r="H408" s="24"/>
      <c r="I408" s="24"/>
      <c r="J408" s="13"/>
    </row>
    <row r="409" spans="3:10" ht="14.25" customHeight="1" x14ac:dyDescent="0.25">
      <c r="C409" s="23"/>
      <c r="D409" s="10"/>
      <c r="H409" s="24"/>
      <c r="I409" s="24"/>
      <c r="J409" s="13"/>
    </row>
    <row r="410" spans="3:10" ht="14.25" customHeight="1" x14ac:dyDescent="0.25">
      <c r="C410" s="23"/>
      <c r="D410" s="10"/>
      <c r="H410" s="24"/>
      <c r="I410" s="24"/>
      <c r="J410" s="13"/>
    </row>
    <row r="411" spans="3:10" ht="14.25" customHeight="1" x14ac:dyDescent="0.25">
      <c r="C411" s="23"/>
      <c r="D411" s="10"/>
      <c r="H411" s="24"/>
      <c r="I411" s="24"/>
      <c r="J411" s="13"/>
    </row>
    <row r="412" spans="3:10" ht="14.25" customHeight="1" x14ac:dyDescent="0.25">
      <c r="C412" s="23"/>
      <c r="D412" s="10"/>
      <c r="H412" s="24"/>
      <c r="I412" s="24"/>
      <c r="J412" s="13"/>
    </row>
    <row r="413" spans="3:10" ht="14.25" customHeight="1" x14ac:dyDescent="0.25">
      <c r="C413" s="23"/>
      <c r="D413" s="10"/>
      <c r="H413" s="24"/>
      <c r="I413" s="24"/>
      <c r="J413" s="13"/>
    </row>
    <row r="414" spans="3:10" ht="14.25" customHeight="1" x14ac:dyDescent="0.25">
      <c r="C414" s="23"/>
      <c r="D414" s="10"/>
      <c r="H414" s="24"/>
      <c r="I414" s="24"/>
      <c r="J414" s="13"/>
    </row>
    <row r="415" spans="3:10" ht="14.25" customHeight="1" x14ac:dyDescent="0.25">
      <c r="C415" s="23"/>
      <c r="D415" s="10"/>
      <c r="H415" s="24"/>
      <c r="I415" s="24"/>
      <c r="J415" s="13"/>
    </row>
    <row r="416" spans="3:10" ht="14.25" customHeight="1" x14ac:dyDescent="0.25">
      <c r="C416" s="23"/>
      <c r="D416" s="10"/>
      <c r="H416" s="24"/>
      <c r="I416" s="24"/>
      <c r="J416" s="13"/>
    </row>
    <row r="417" spans="3:10" ht="14.25" customHeight="1" x14ac:dyDescent="0.25">
      <c r="C417" s="23"/>
      <c r="D417" s="10"/>
      <c r="H417" s="24"/>
      <c r="I417" s="24"/>
      <c r="J417" s="13"/>
    </row>
    <row r="418" spans="3:10" ht="14.25" customHeight="1" x14ac:dyDescent="0.25">
      <c r="C418" s="23"/>
      <c r="D418" s="10"/>
      <c r="H418" s="24"/>
      <c r="I418" s="24"/>
      <c r="J418" s="13"/>
    </row>
    <row r="419" spans="3:10" ht="14.25" customHeight="1" x14ac:dyDescent="0.25">
      <c r="C419" s="23"/>
      <c r="D419" s="10"/>
      <c r="H419" s="24"/>
      <c r="I419" s="24"/>
      <c r="J419" s="13"/>
    </row>
    <row r="420" spans="3:10" ht="14.25" customHeight="1" x14ac:dyDescent="0.25">
      <c r="C420" s="23"/>
      <c r="D420" s="10"/>
      <c r="H420" s="24"/>
      <c r="I420" s="24"/>
      <c r="J420" s="13"/>
    </row>
    <row r="421" spans="3:10" ht="14.25" customHeight="1" x14ac:dyDescent="0.25">
      <c r="C421" s="23"/>
      <c r="D421" s="10"/>
      <c r="H421" s="24"/>
      <c r="I421" s="24"/>
      <c r="J421" s="13"/>
    </row>
    <row r="422" spans="3:10" ht="14.25" customHeight="1" x14ac:dyDescent="0.25">
      <c r="C422" s="23"/>
      <c r="D422" s="10"/>
      <c r="H422" s="24"/>
      <c r="I422" s="24"/>
      <c r="J422" s="13"/>
    </row>
    <row r="423" spans="3:10" ht="14.25" customHeight="1" x14ac:dyDescent="0.25">
      <c r="C423" s="23"/>
      <c r="D423" s="10"/>
      <c r="H423" s="24"/>
      <c r="I423" s="24"/>
      <c r="J423" s="13"/>
    </row>
    <row r="424" spans="3:10" ht="14.25" customHeight="1" x14ac:dyDescent="0.25">
      <c r="C424" s="23"/>
      <c r="D424" s="10"/>
      <c r="H424" s="24"/>
      <c r="I424" s="24"/>
      <c r="J424" s="13"/>
    </row>
    <row r="425" spans="3:10" ht="14.25" customHeight="1" x14ac:dyDescent="0.25">
      <c r="C425" s="23"/>
      <c r="D425" s="10"/>
      <c r="H425" s="24"/>
      <c r="I425" s="24"/>
      <c r="J425" s="13"/>
    </row>
    <row r="426" spans="3:10" ht="14.25" customHeight="1" x14ac:dyDescent="0.25">
      <c r="C426" s="23"/>
      <c r="D426" s="10"/>
      <c r="H426" s="24"/>
      <c r="I426" s="24"/>
      <c r="J426" s="13"/>
    </row>
    <row r="427" spans="3:10" ht="14.25" customHeight="1" x14ac:dyDescent="0.25">
      <c r="C427" s="23"/>
      <c r="D427" s="10"/>
      <c r="H427" s="24"/>
      <c r="I427" s="24"/>
      <c r="J427" s="13"/>
    </row>
    <row r="428" spans="3:10" ht="14.25" customHeight="1" x14ac:dyDescent="0.25">
      <c r="C428" s="23"/>
      <c r="D428" s="10"/>
      <c r="H428" s="24"/>
      <c r="I428" s="24"/>
      <c r="J428" s="13"/>
    </row>
    <row r="429" spans="3:10" ht="14.25" customHeight="1" x14ac:dyDescent="0.25">
      <c r="C429" s="23"/>
      <c r="D429" s="10"/>
      <c r="H429" s="24"/>
      <c r="I429" s="24"/>
      <c r="J429" s="13"/>
    </row>
    <row r="430" spans="3:10" ht="14.25" customHeight="1" x14ac:dyDescent="0.25">
      <c r="C430" s="23"/>
      <c r="D430" s="10"/>
      <c r="H430" s="24"/>
      <c r="I430" s="24"/>
      <c r="J430" s="13"/>
    </row>
    <row r="431" spans="3:10" ht="14.25" customHeight="1" x14ac:dyDescent="0.25">
      <c r="C431" s="23"/>
      <c r="D431" s="10"/>
      <c r="H431" s="24"/>
      <c r="I431" s="24"/>
      <c r="J431" s="13"/>
    </row>
    <row r="432" spans="3:10" ht="14.25" customHeight="1" x14ac:dyDescent="0.25">
      <c r="C432" s="23"/>
      <c r="D432" s="10"/>
      <c r="H432" s="24"/>
      <c r="I432" s="24"/>
      <c r="J432" s="13"/>
    </row>
    <row r="433" spans="3:10" ht="14.25" customHeight="1" x14ac:dyDescent="0.25">
      <c r="C433" s="23"/>
      <c r="D433" s="10"/>
      <c r="H433" s="24"/>
      <c r="I433" s="24"/>
      <c r="J433" s="13"/>
    </row>
    <row r="434" spans="3:10" ht="14.25" customHeight="1" x14ac:dyDescent="0.25">
      <c r="C434" s="23"/>
      <c r="D434" s="10"/>
      <c r="H434" s="24"/>
      <c r="I434" s="24"/>
      <c r="J434" s="13"/>
    </row>
    <row r="435" spans="3:10" ht="14.25" customHeight="1" x14ac:dyDescent="0.25">
      <c r="C435" s="23"/>
      <c r="D435" s="10"/>
      <c r="H435" s="24"/>
      <c r="I435" s="24"/>
      <c r="J435" s="13"/>
    </row>
    <row r="436" spans="3:10" ht="14.25" customHeight="1" x14ac:dyDescent="0.25">
      <c r="C436" s="23"/>
      <c r="D436" s="10"/>
      <c r="H436" s="24"/>
      <c r="I436" s="24"/>
      <c r="J436" s="13"/>
    </row>
    <row r="437" spans="3:10" ht="14.25" customHeight="1" x14ac:dyDescent="0.25">
      <c r="C437" s="23"/>
      <c r="D437" s="10"/>
      <c r="H437" s="24"/>
      <c r="I437" s="24"/>
      <c r="J437" s="13"/>
    </row>
    <row r="438" spans="3:10" ht="14.25" customHeight="1" x14ac:dyDescent="0.25">
      <c r="C438" s="23"/>
      <c r="D438" s="10"/>
      <c r="H438" s="24"/>
      <c r="I438" s="24"/>
      <c r="J438" s="13"/>
    </row>
    <row r="439" spans="3:10" ht="14.25" customHeight="1" x14ac:dyDescent="0.25">
      <c r="C439" s="23"/>
      <c r="D439" s="10"/>
      <c r="H439" s="24"/>
      <c r="I439" s="24"/>
      <c r="J439" s="13"/>
    </row>
    <row r="440" spans="3:10" ht="14.25" customHeight="1" x14ac:dyDescent="0.25">
      <c r="C440" s="23"/>
      <c r="D440" s="10"/>
      <c r="H440" s="24"/>
      <c r="I440" s="24"/>
      <c r="J440" s="13"/>
    </row>
    <row r="441" spans="3:10" ht="14.25" customHeight="1" x14ac:dyDescent="0.25">
      <c r="C441" s="23"/>
      <c r="D441" s="10"/>
      <c r="H441" s="24"/>
      <c r="I441" s="24"/>
      <c r="J441" s="13"/>
    </row>
    <row r="442" spans="3:10" ht="14.25" customHeight="1" x14ac:dyDescent="0.25">
      <c r="C442" s="23"/>
      <c r="D442" s="10"/>
      <c r="H442" s="24"/>
      <c r="I442" s="24"/>
      <c r="J442" s="13"/>
    </row>
    <row r="443" spans="3:10" ht="14.25" customHeight="1" x14ac:dyDescent="0.25">
      <c r="C443" s="23"/>
      <c r="D443" s="10"/>
      <c r="H443" s="24"/>
      <c r="I443" s="24"/>
      <c r="J443" s="13"/>
    </row>
    <row r="444" spans="3:10" ht="14.25" customHeight="1" x14ac:dyDescent="0.25">
      <c r="C444" s="23"/>
      <c r="D444" s="10"/>
      <c r="H444" s="24"/>
      <c r="I444" s="24"/>
      <c r="J444" s="13"/>
    </row>
    <row r="445" spans="3:10" ht="14.25" customHeight="1" x14ac:dyDescent="0.25">
      <c r="C445" s="23"/>
      <c r="D445" s="10"/>
      <c r="H445" s="24"/>
      <c r="I445" s="24"/>
      <c r="J445" s="13"/>
    </row>
    <row r="446" spans="3:10" ht="14.25" customHeight="1" x14ac:dyDescent="0.25">
      <c r="C446" s="23"/>
      <c r="D446" s="10"/>
      <c r="H446" s="24"/>
      <c r="I446" s="24"/>
      <c r="J446" s="13"/>
    </row>
    <row r="447" spans="3:10" ht="14.25" customHeight="1" x14ac:dyDescent="0.25">
      <c r="C447" s="23"/>
      <c r="D447" s="10"/>
      <c r="H447" s="24"/>
      <c r="I447" s="24"/>
      <c r="J447" s="13"/>
    </row>
    <row r="448" spans="3:10" ht="14.25" customHeight="1" x14ac:dyDescent="0.25">
      <c r="C448" s="23"/>
      <c r="D448" s="10"/>
      <c r="H448" s="24"/>
      <c r="I448" s="24"/>
      <c r="J448" s="13"/>
    </row>
    <row r="449" spans="3:10" ht="14.25" customHeight="1" x14ac:dyDescent="0.25">
      <c r="C449" s="23"/>
      <c r="D449" s="10"/>
      <c r="H449" s="24"/>
      <c r="I449" s="24"/>
      <c r="J449" s="13"/>
    </row>
    <row r="450" spans="3:10" ht="14.25" customHeight="1" x14ac:dyDescent="0.25">
      <c r="C450" s="23"/>
      <c r="D450" s="10"/>
      <c r="H450" s="24"/>
      <c r="I450" s="24"/>
      <c r="J450" s="13"/>
    </row>
    <row r="451" spans="3:10" ht="14.25" customHeight="1" x14ac:dyDescent="0.25">
      <c r="C451" s="23"/>
      <c r="D451" s="10"/>
      <c r="H451" s="24"/>
      <c r="I451" s="24"/>
      <c r="J451" s="13"/>
    </row>
    <row r="452" spans="3:10" ht="14.25" customHeight="1" x14ac:dyDescent="0.25">
      <c r="C452" s="23"/>
      <c r="D452" s="10"/>
      <c r="H452" s="24"/>
      <c r="I452" s="24"/>
      <c r="J452" s="13"/>
    </row>
    <row r="453" spans="3:10" ht="14.25" customHeight="1" x14ac:dyDescent="0.25">
      <c r="C453" s="23"/>
      <c r="D453" s="10"/>
      <c r="H453" s="24"/>
      <c r="I453" s="24"/>
      <c r="J453" s="13"/>
    </row>
    <row r="454" spans="3:10" ht="14.25" customHeight="1" x14ac:dyDescent="0.25">
      <c r="C454" s="23"/>
      <c r="D454" s="10"/>
      <c r="H454" s="24"/>
      <c r="I454" s="24"/>
      <c r="J454" s="13"/>
    </row>
    <row r="455" spans="3:10" ht="14.25" customHeight="1" x14ac:dyDescent="0.25">
      <c r="C455" s="23"/>
      <c r="D455" s="10"/>
      <c r="H455" s="24"/>
      <c r="I455" s="24"/>
      <c r="J455" s="13"/>
    </row>
    <row r="456" spans="3:10" ht="14.25" customHeight="1" x14ac:dyDescent="0.25">
      <c r="C456" s="23"/>
      <c r="D456" s="10"/>
      <c r="H456" s="24"/>
      <c r="I456" s="24"/>
      <c r="J456" s="13"/>
    </row>
    <row r="457" spans="3:10" ht="14.25" customHeight="1" x14ac:dyDescent="0.25">
      <c r="C457" s="23"/>
      <c r="D457" s="10"/>
      <c r="H457" s="24"/>
      <c r="I457" s="24"/>
      <c r="J457" s="13"/>
    </row>
    <row r="458" spans="3:10" ht="14.25" customHeight="1" x14ac:dyDescent="0.25">
      <c r="C458" s="23"/>
      <c r="D458" s="10"/>
      <c r="H458" s="24"/>
      <c r="I458" s="24"/>
      <c r="J458" s="13"/>
    </row>
    <row r="459" spans="3:10" ht="14.25" customHeight="1" x14ac:dyDescent="0.25">
      <c r="C459" s="23"/>
      <c r="D459" s="10"/>
      <c r="H459" s="24"/>
      <c r="I459" s="24"/>
      <c r="J459" s="13"/>
    </row>
    <row r="460" spans="3:10" ht="14.25" customHeight="1" x14ac:dyDescent="0.25">
      <c r="C460" s="23"/>
      <c r="D460" s="10"/>
      <c r="H460" s="24"/>
      <c r="I460" s="24"/>
      <c r="J460" s="13"/>
    </row>
    <row r="461" spans="3:10" ht="14.25" customHeight="1" x14ac:dyDescent="0.25">
      <c r="C461" s="23"/>
      <c r="D461" s="10"/>
      <c r="H461" s="24"/>
      <c r="I461" s="24"/>
      <c r="J461" s="13"/>
    </row>
    <row r="462" spans="3:10" ht="14.25" customHeight="1" x14ac:dyDescent="0.25">
      <c r="C462" s="23"/>
      <c r="D462" s="10"/>
      <c r="H462" s="24"/>
      <c r="I462" s="24"/>
      <c r="J462" s="13"/>
    </row>
    <row r="463" spans="3:10" ht="14.25" customHeight="1" x14ac:dyDescent="0.25">
      <c r="C463" s="23"/>
      <c r="D463" s="10"/>
      <c r="H463" s="24"/>
      <c r="I463" s="24"/>
      <c r="J463" s="13"/>
    </row>
    <row r="464" spans="3:10" ht="14.25" customHeight="1" x14ac:dyDescent="0.25">
      <c r="C464" s="23"/>
      <c r="D464" s="10"/>
      <c r="H464" s="24"/>
      <c r="I464" s="24"/>
      <c r="J464" s="13"/>
    </row>
    <row r="465" spans="3:10" ht="14.25" customHeight="1" x14ac:dyDescent="0.25">
      <c r="C465" s="23"/>
      <c r="D465" s="10"/>
      <c r="H465" s="24"/>
      <c r="I465" s="24"/>
      <c r="J465" s="13"/>
    </row>
    <row r="466" spans="3:10" ht="14.25" customHeight="1" x14ac:dyDescent="0.25">
      <c r="C466" s="23"/>
      <c r="D466" s="10"/>
      <c r="H466" s="24"/>
      <c r="I466" s="24"/>
      <c r="J466" s="13"/>
    </row>
    <row r="467" spans="3:10" ht="14.25" customHeight="1" x14ac:dyDescent="0.25">
      <c r="C467" s="23"/>
      <c r="D467" s="10"/>
      <c r="H467" s="24"/>
      <c r="I467" s="24"/>
      <c r="J467" s="13"/>
    </row>
    <row r="468" spans="3:10" ht="14.25" customHeight="1" x14ac:dyDescent="0.25">
      <c r="C468" s="23"/>
      <c r="D468" s="10"/>
      <c r="H468" s="24"/>
      <c r="I468" s="24"/>
      <c r="J468" s="13"/>
    </row>
    <row r="469" spans="3:10" ht="14.25" customHeight="1" x14ac:dyDescent="0.25">
      <c r="C469" s="23"/>
      <c r="D469" s="10"/>
      <c r="H469" s="24"/>
      <c r="I469" s="24"/>
      <c r="J469" s="13"/>
    </row>
    <row r="470" spans="3:10" ht="14.25" customHeight="1" x14ac:dyDescent="0.25">
      <c r="C470" s="23"/>
      <c r="D470" s="10"/>
      <c r="H470" s="24"/>
      <c r="I470" s="24"/>
      <c r="J470" s="13"/>
    </row>
    <row r="471" spans="3:10" ht="14.25" customHeight="1" x14ac:dyDescent="0.25">
      <c r="C471" s="23"/>
      <c r="D471" s="10"/>
      <c r="H471" s="24"/>
      <c r="I471" s="24"/>
      <c r="J471" s="13"/>
    </row>
    <row r="472" spans="3:10" ht="14.25" customHeight="1" x14ac:dyDescent="0.25">
      <c r="C472" s="23"/>
      <c r="D472" s="10"/>
      <c r="H472" s="24"/>
      <c r="I472" s="24"/>
      <c r="J472" s="13"/>
    </row>
    <row r="473" spans="3:10" ht="14.25" customHeight="1" x14ac:dyDescent="0.25">
      <c r="C473" s="23"/>
      <c r="D473" s="10"/>
      <c r="H473" s="24"/>
      <c r="I473" s="24"/>
      <c r="J473" s="13"/>
    </row>
    <row r="474" spans="3:10" ht="14.25" customHeight="1" x14ac:dyDescent="0.25">
      <c r="C474" s="23"/>
      <c r="D474" s="10"/>
      <c r="H474" s="24"/>
      <c r="I474" s="24"/>
      <c r="J474" s="13"/>
    </row>
    <row r="475" spans="3:10" ht="14.25" customHeight="1" x14ac:dyDescent="0.25">
      <c r="C475" s="23"/>
      <c r="D475" s="10"/>
      <c r="H475" s="24"/>
      <c r="I475" s="24"/>
      <c r="J475" s="13"/>
    </row>
    <row r="476" spans="3:10" ht="14.25" customHeight="1" x14ac:dyDescent="0.25">
      <c r="C476" s="23"/>
      <c r="D476" s="10"/>
      <c r="H476" s="24"/>
      <c r="I476" s="24"/>
      <c r="J476" s="13"/>
    </row>
    <row r="477" spans="3:10" ht="14.25" customHeight="1" x14ac:dyDescent="0.25">
      <c r="C477" s="23"/>
      <c r="D477" s="10"/>
      <c r="H477" s="24"/>
      <c r="I477" s="24"/>
      <c r="J477" s="13"/>
    </row>
    <row r="478" spans="3:10" ht="14.25" customHeight="1" x14ac:dyDescent="0.25">
      <c r="C478" s="23"/>
      <c r="D478" s="10"/>
      <c r="H478" s="24"/>
      <c r="I478" s="24"/>
      <c r="J478" s="13"/>
    </row>
    <row r="479" spans="3:10" ht="14.25" customHeight="1" x14ac:dyDescent="0.25">
      <c r="C479" s="23"/>
      <c r="D479" s="10"/>
      <c r="H479" s="24"/>
      <c r="I479" s="24"/>
      <c r="J479" s="13"/>
    </row>
    <row r="480" spans="3:10" ht="14.25" customHeight="1" x14ac:dyDescent="0.25">
      <c r="C480" s="23"/>
      <c r="D480" s="10"/>
      <c r="H480" s="24"/>
      <c r="I480" s="24"/>
      <c r="J480" s="13"/>
    </row>
    <row r="481" spans="3:10" ht="14.25" customHeight="1" x14ac:dyDescent="0.25">
      <c r="C481" s="23"/>
      <c r="D481" s="10"/>
      <c r="H481" s="24"/>
      <c r="I481" s="24"/>
      <c r="J481" s="13"/>
    </row>
    <row r="482" spans="3:10" ht="14.25" customHeight="1" x14ac:dyDescent="0.25">
      <c r="C482" s="23"/>
      <c r="D482" s="10"/>
      <c r="H482" s="24"/>
      <c r="I482" s="24"/>
      <c r="J482" s="13"/>
    </row>
    <row r="483" spans="3:10" ht="14.25" customHeight="1" x14ac:dyDescent="0.25">
      <c r="C483" s="23"/>
      <c r="D483" s="10"/>
      <c r="H483" s="24"/>
      <c r="I483" s="24"/>
      <c r="J483" s="13"/>
    </row>
    <row r="484" spans="3:10" ht="14.25" customHeight="1" x14ac:dyDescent="0.25">
      <c r="C484" s="23"/>
      <c r="D484" s="10"/>
      <c r="H484" s="24"/>
      <c r="I484" s="24"/>
      <c r="J484" s="13"/>
    </row>
    <row r="485" spans="3:10" ht="14.25" customHeight="1" x14ac:dyDescent="0.25">
      <c r="C485" s="23"/>
      <c r="D485" s="10"/>
      <c r="H485" s="24"/>
      <c r="I485" s="24"/>
      <c r="J485" s="13"/>
    </row>
    <row r="486" spans="3:10" ht="14.25" customHeight="1" x14ac:dyDescent="0.25">
      <c r="C486" s="23"/>
      <c r="D486" s="10"/>
      <c r="H486" s="24"/>
      <c r="I486" s="24"/>
      <c r="J486" s="13"/>
    </row>
    <row r="487" spans="3:10" ht="14.25" customHeight="1" x14ac:dyDescent="0.25">
      <c r="C487" s="23"/>
      <c r="D487" s="10"/>
      <c r="H487" s="24"/>
      <c r="I487" s="24"/>
      <c r="J487" s="13"/>
    </row>
    <row r="488" spans="3:10" ht="14.25" customHeight="1" x14ac:dyDescent="0.25">
      <c r="C488" s="23"/>
      <c r="D488" s="10"/>
      <c r="H488" s="24"/>
      <c r="I488" s="24"/>
      <c r="J488" s="13"/>
    </row>
    <row r="489" spans="3:10" ht="14.25" customHeight="1" x14ac:dyDescent="0.25">
      <c r="C489" s="23"/>
      <c r="D489" s="10"/>
      <c r="H489" s="24"/>
      <c r="I489" s="24"/>
      <c r="J489" s="13"/>
    </row>
    <row r="490" spans="3:10" ht="14.25" customHeight="1" x14ac:dyDescent="0.25">
      <c r="C490" s="23"/>
      <c r="D490" s="10"/>
      <c r="H490" s="24"/>
      <c r="I490" s="24"/>
      <c r="J490" s="13"/>
    </row>
    <row r="491" spans="3:10" ht="14.25" customHeight="1" x14ac:dyDescent="0.25">
      <c r="C491" s="23"/>
      <c r="D491" s="10"/>
      <c r="H491" s="24"/>
      <c r="I491" s="24"/>
      <c r="J491" s="13"/>
    </row>
    <row r="492" spans="3:10" ht="14.25" customHeight="1" x14ac:dyDescent="0.25">
      <c r="C492" s="23"/>
      <c r="D492" s="10"/>
      <c r="H492" s="24"/>
      <c r="I492" s="24"/>
      <c r="J492" s="13"/>
    </row>
    <row r="493" spans="3:10" ht="14.25" customHeight="1" x14ac:dyDescent="0.25">
      <c r="C493" s="23"/>
      <c r="D493" s="10"/>
      <c r="H493" s="24"/>
      <c r="I493" s="24"/>
      <c r="J493" s="13"/>
    </row>
    <row r="494" spans="3:10" ht="14.25" customHeight="1" x14ac:dyDescent="0.25">
      <c r="C494" s="23"/>
      <c r="D494" s="10"/>
      <c r="H494" s="24"/>
      <c r="I494" s="24"/>
      <c r="J494" s="13"/>
    </row>
    <row r="495" spans="3:10" ht="14.25" customHeight="1" x14ac:dyDescent="0.25">
      <c r="C495" s="23"/>
      <c r="D495" s="10"/>
      <c r="H495" s="24"/>
      <c r="I495" s="24"/>
      <c r="J495" s="13"/>
    </row>
    <row r="496" spans="3:10" ht="14.25" customHeight="1" x14ac:dyDescent="0.25">
      <c r="C496" s="23"/>
      <c r="D496" s="10"/>
      <c r="H496" s="24"/>
      <c r="I496" s="24"/>
      <c r="J496" s="13"/>
    </row>
    <row r="497" spans="3:10" ht="14.25" customHeight="1" x14ac:dyDescent="0.25">
      <c r="C497" s="23"/>
      <c r="D497" s="10"/>
      <c r="H497" s="24"/>
      <c r="I497" s="24"/>
      <c r="J497" s="13"/>
    </row>
    <row r="498" spans="3:10" ht="14.25" customHeight="1" x14ac:dyDescent="0.25">
      <c r="C498" s="23"/>
      <c r="D498" s="10"/>
      <c r="H498" s="24"/>
      <c r="I498" s="24"/>
      <c r="J498" s="13"/>
    </row>
    <row r="499" spans="3:10" ht="14.25" customHeight="1" x14ac:dyDescent="0.25">
      <c r="C499" s="23"/>
      <c r="D499" s="10"/>
      <c r="H499" s="24"/>
      <c r="I499" s="24"/>
      <c r="J499" s="13"/>
    </row>
    <row r="500" spans="3:10" ht="14.25" customHeight="1" x14ac:dyDescent="0.25">
      <c r="C500" s="23"/>
      <c r="D500" s="10"/>
      <c r="H500" s="24"/>
      <c r="I500" s="24"/>
      <c r="J500" s="13"/>
    </row>
    <row r="501" spans="3:10" ht="14.25" customHeight="1" x14ac:dyDescent="0.25">
      <c r="C501" s="23"/>
      <c r="D501" s="10"/>
      <c r="H501" s="24"/>
      <c r="I501" s="24"/>
      <c r="J501" s="13"/>
    </row>
    <row r="502" spans="3:10" ht="14.25" customHeight="1" x14ac:dyDescent="0.25">
      <c r="C502" s="23"/>
      <c r="D502" s="10"/>
      <c r="H502" s="24"/>
      <c r="I502" s="24"/>
      <c r="J502" s="13"/>
    </row>
    <row r="503" spans="3:10" ht="14.25" customHeight="1" x14ac:dyDescent="0.25">
      <c r="C503" s="23"/>
      <c r="D503" s="10"/>
      <c r="H503" s="24"/>
      <c r="I503" s="24"/>
      <c r="J503" s="13"/>
    </row>
    <row r="504" spans="3:10" ht="14.25" customHeight="1" x14ac:dyDescent="0.25">
      <c r="C504" s="23"/>
      <c r="D504" s="10"/>
      <c r="H504" s="24"/>
      <c r="I504" s="24"/>
      <c r="J504" s="13"/>
    </row>
    <row r="505" spans="3:10" ht="14.25" customHeight="1" x14ac:dyDescent="0.25">
      <c r="C505" s="23"/>
      <c r="D505" s="10"/>
      <c r="H505" s="24"/>
      <c r="I505" s="24"/>
      <c r="J505" s="13"/>
    </row>
    <row r="506" spans="3:10" ht="14.25" customHeight="1" x14ac:dyDescent="0.25">
      <c r="C506" s="23"/>
      <c r="D506" s="10"/>
      <c r="H506" s="24"/>
      <c r="I506" s="24"/>
      <c r="J506" s="13"/>
    </row>
    <row r="507" spans="3:10" ht="14.25" customHeight="1" x14ac:dyDescent="0.25">
      <c r="C507" s="23"/>
      <c r="D507" s="10"/>
      <c r="H507" s="24"/>
      <c r="I507" s="24"/>
      <c r="J507" s="13"/>
    </row>
    <row r="508" spans="3:10" ht="14.25" customHeight="1" x14ac:dyDescent="0.25">
      <c r="C508" s="23"/>
      <c r="D508" s="10"/>
      <c r="H508" s="24"/>
      <c r="I508" s="24"/>
      <c r="J508" s="13"/>
    </row>
    <row r="509" spans="3:10" ht="14.25" customHeight="1" x14ac:dyDescent="0.25">
      <c r="C509" s="23"/>
      <c r="D509" s="10"/>
      <c r="H509" s="24"/>
      <c r="I509" s="24"/>
      <c r="J509" s="13"/>
    </row>
    <row r="510" spans="3:10" ht="14.25" customHeight="1" x14ac:dyDescent="0.25">
      <c r="C510" s="23"/>
      <c r="D510" s="10"/>
      <c r="H510" s="24"/>
      <c r="I510" s="24"/>
      <c r="J510" s="13"/>
    </row>
    <row r="511" spans="3:10" ht="14.25" customHeight="1" x14ac:dyDescent="0.25">
      <c r="C511" s="23"/>
      <c r="D511" s="10"/>
      <c r="H511" s="24"/>
      <c r="I511" s="24"/>
      <c r="J511" s="13"/>
    </row>
    <row r="512" spans="3:10" ht="14.25" customHeight="1" x14ac:dyDescent="0.25">
      <c r="C512" s="23"/>
      <c r="D512" s="10"/>
      <c r="H512" s="24"/>
      <c r="I512" s="24"/>
      <c r="J512" s="13"/>
    </row>
    <row r="513" spans="3:10" ht="14.25" customHeight="1" x14ac:dyDescent="0.25">
      <c r="C513" s="23"/>
      <c r="D513" s="10"/>
      <c r="H513" s="24"/>
      <c r="I513" s="24"/>
      <c r="J513" s="13"/>
    </row>
    <row r="514" spans="3:10" ht="14.25" customHeight="1" x14ac:dyDescent="0.25">
      <c r="C514" s="23"/>
      <c r="D514" s="10"/>
      <c r="H514" s="24"/>
      <c r="I514" s="24"/>
      <c r="J514" s="13"/>
    </row>
    <row r="515" spans="3:10" ht="14.25" customHeight="1" x14ac:dyDescent="0.25">
      <c r="C515" s="23"/>
      <c r="D515" s="10"/>
      <c r="H515" s="24"/>
      <c r="I515" s="24"/>
      <c r="J515" s="13"/>
    </row>
    <row r="516" spans="3:10" ht="14.25" customHeight="1" x14ac:dyDescent="0.25">
      <c r="C516" s="23"/>
      <c r="D516" s="10"/>
      <c r="H516" s="24"/>
      <c r="I516" s="24"/>
      <c r="J516" s="13"/>
    </row>
    <row r="517" spans="3:10" ht="14.25" customHeight="1" x14ac:dyDescent="0.25">
      <c r="C517" s="23"/>
      <c r="D517" s="10"/>
      <c r="H517" s="24"/>
      <c r="I517" s="24"/>
      <c r="J517" s="13"/>
    </row>
    <row r="518" spans="3:10" ht="14.25" customHeight="1" x14ac:dyDescent="0.25">
      <c r="C518" s="23"/>
      <c r="D518" s="10"/>
      <c r="H518" s="24"/>
      <c r="I518" s="24"/>
      <c r="J518" s="13"/>
    </row>
    <row r="519" spans="3:10" ht="14.25" customHeight="1" x14ac:dyDescent="0.25">
      <c r="C519" s="23"/>
      <c r="D519" s="10"/>
      <c r="H519" s="24"/>
      <c r="I519" s="24"/>
      <c r="J519" s="13"/>
    </row>
    <row r="520" spans="3:10" ht="14.25" customHeight="1" x14ac:dyDescent="0.25">
      <c r="C520" s="23"/>
      <c r="D520" s="10"/>
      <c r="H520" s="24"/>
      <c r="I520" s="24"/>
      <c r="J520" s="13"/>
    </row>
    <row r="521" spans="3:10" ht="14.25" customHeight="1" x14ac:dyDescent="0.25">
      <c r="C521" s="23"/>
      <c r="D521" s="10"/>
      <c r="H521" s="24"/>
      <c r="I521" s="24"/>
      <c r="J521" s="13"/>
    </row>
    <row r="522" spans="3:10" ht="14.25" customHeight="1" x14ac:dyDescent="0.25">
      <c r="C522" s="23"/>
      <c r="D522" s="10"/>
      <c r="H522" s="24"/>
      <c r="I522" s="24"/>
      <c r="J522" s="13"/>
    </row>
    <row r="523" spans="3:10" ht="14.25" customHeight="1" x14ac:dyDescent="0.25">
      <c r="C523" s="23"/>
      <c r="D523" s="10"/>
      <c r="H523" s="24"/>
      <c r="I523" s="24"/>
      <c r="J523" s="13"/>
    </row>
    <row r="524" spans="3:10" ht="14.25" customHeight="1" x14ac:dyDescent="0.25">
      <c r="C524" s="23"/>
      <c r="D524" s="10"/>
      <c r="H524" s="24"/>
      <c r="I524" s="24"/>
      <c r="J524" s="13"/>
    </row>
    <row r="525" spans="3:10" ht="14.25" customHeight="1" x14ac:dyDescent="0.25">
      <c r="C525" s="23"/>
      <c r="D525" s="10"/>
      <c r="H525" s="24"/>
      <c r="I525" s="24"/>
      <c r="J525" s="13"/>
    </row>
    <row r="526" spans="3:10" ht="14.25" customHeight="1" x14ac:dyDescent="0.25">
      <c r="C526" s="23"/>
      <c r="D526" s="10"/>
      <c r="H526" s="24"/>
      <c r="I526" s="24"/>
      <c r="J526" s="13"/>
    </row>
    <row r="527" spans="3:10" ht="14.25" customHeight="1" x14ac:dyDescent="0.25">
      <c r="C527" s="23"/>
      <c r="D527" s="10"/>
      <c r="H527" s="24"/>
      <c r="I527" s="24"/>
      <c r="J527" s="13"/>
    </row>
    <row r="528" spans="3:10" ht="14.25" customHeight="1" x14ac:dyDescent="0.25">
      <c r="C528" s="23"/>
      <c r="D528" s="10"/>
      <c r="H528" s="24"/>
      <c r="I528" s="24"/>
      <c r="J528" s="13"/>
    </row>
    <row r="529" spans="3:10" ht="14.25" customHeight="1" x14ac:dyDescent="0.25">
      <c r="C529" s="23"/>
      <c r="D529" s="10"/>
      <c r="H529" s="24"/>
      <c r="I529" s="24"/>
      <c r="J529" s="13"/>
    </row>
    <row r="530" spans="3:10" ht="14.25" customHeight="1" x14ac:dyDescent="0.25">
      <c r="C530" s="23"/>
      <c r="D530" s="10"/>
      <c r="H530" s="24"/>
      <c r="I530" s="24"/>
      <c r="J530" s="13"/>
    </row>
    <row r="531" spans="3:10" ht="14.25" customHeight="1" x14ac:dyDescent="0.25">
      <c r="C531" s="23"/>
      <c r="D531" s="10"/>
      <c r="H531" s="24"/>
      <c r="I531" s="24"/>
      <c r="J531" s="13"/>
    </row>
    <row r="532" spans="3:10" ht="14.25" customHeight="1" x14ac:dyDescent="0.25">
      <c r="C532" s="23"/>
      <c r="D532" s="10"/>
      <c r="H532" s="24"/>
      <c r="I532" s="24"/>
      <c r="J532" s="13"/>
    </row>
    <row r="533" spans="3:10" ht="14.25" customHeight="1" x14ac:dyDescent="0.25">
      <c r="C533" s="23"/>
      <c r="D533" s="10"/>
      <c r="H533" s="24"/>
      <c r="I533" s="24"/>
      <c r="J533" s="13"/>
    </row>
    <row r="534" spans="3:10" ht="14.25" customHeight="1" x14ac:dyDescent="0.25">
      <c r="C534" s="23"/>
      <c r="D534" s="10"/>
      <c r="H534" s="24"/>
      <c r="I534" s="24"/>
      <c r="J534" s="13"/>
    </row>
    <row r="535" spans="3:10" ht="14.25" customHeight="1" x14ac:dyDescent="0.25">
      <c r="C535" s="23"/>
      <c r="D535" s="10"/>
      <c r="H535" s="24"/>
      <c r="I535" s="24"/>
      <c r="J535" s="13"/>
    </row>
    <row r="536" spans="3:10" ht="14.25" customHeight="1" x14ac:dyDescent="0.25">
      <c r="C536" s="23"/>
      <c r="D536" s="10"/>
      <c r="H536" s="24"/>
      <c r="I536" s="24"/>
      <c r="J536" s="13"/>
    </row>
    <row r="537" spans="3:10" ht="14.25" customHeight="1" x14ac:dyDescent="0.25">
      <c r="C537" s="23"/>
      <c r="D537" s="10"/>
      <c r="H537" s="24"/>
      <c r="I537" s="24"/>
      <c r="J537" s="13"/>
    </row>
    <row r="538" spans="3:10" ht="14.25" customHeight="1" x14ac:dyDescent="0.25">
      <c r="C538" s="23"/>
      <c r="D538" s="10"/>
      <c r="H538" s="24"/>
      <c r="I538" s="24"/>
      <c r="J538" s="13"/>
    </row>
    <row r="539" spans="3:10" ht="14.25" customHeight="1" x14ac:dyDescent="0.25">
      <c r="C539" s="23"/>
      <c r="D539" s="10"/>
      <c r="H539" s="24"/>
      <c r="I539" s="24"/>
      <c r="J539" s="13"/>
    </row>
    <row r="540" spans="3:10" ht="14.25" customHeight="1" x14ac:dyDescent="0.25">
      <c r="C540" s="23"/>
      <c r="D540" s="10"/>
      <c r="H540" s="24"/>
      <c r="I540" s="24"/>
      <c r="J540" s="13"/>
    </row>
    <row r="541" spans="3:10" ht="14.25" customHeight="1" x14ac:dyDescent="0.25">
      <c r="C541" s="23"/>
      <c r="D541" s="10"/>
      <c r="H541" s="24"/>
      <c r="I541" s="24"/>
      <c r="J541" s="13"/>
    </row>
    <row r="542" spans="3:10" ht="14.25" customHeight="1" x14ac:dyDescent="0.25">
      <c r="C542" s="23"/>
      <c r="D542" s="10"/>
      <c r="H542" s="24"/>
      <c r="I542" s="24"/>
      <c r="J542" s="13"/>
    </row>
    <row r="543" spans="3:10" ht="14.25" customHeight="1" x14ac:dyDescent="0.25">
      <c r="C543" s="23"/>
      <c r="D543" s="10"/>
      <c r="H543" s="24"/>
      <c r="I543" s="24"/>
      <c r="J543" s="13"/>
    </row>
    <row r="544" spans="3:10" ht="14.25" customHeight="1" x14ac:dyDescent="0.25">
      <c r="C544" s="23"/>
      <c r="D544" s="10"/>
      <c r="H544" s="24"/>
      <c r="I544" s="24"/>
      <c r="J544" s="13"/>
    </row>
    <row r="545" spans="3:10" ht="14.25" customHeight="1" x14ac:dyDescent="0.25">
      <c r="C545" s="23"/>
      <c r="D545" s="10"/>
      <c r="H545" s="24"/>
      <c r="I545" s="24"/>
      <c r="J545" s="13"/>
    </row>
    <row r="546" spans="3:10" ht="14.25" customHeight="1" x14ac:dyDescent="0.25">
      <c r="C546" s="23"/>
      <c r="D546" s="10"/>
      <c r="H546" s="24"/>
      <c r="I546" s="24"/>
      <c r="J546" s="13"/>
    </row>
    <row r="547" spans="3:10" ht="14.25" customHeight="1" x14ac:dyDescent="0.25">
      <c r="C547" s="23"/>
      <c r="D547" s="10"/>
      <c r="H547" s="24"/>
      <c r="I547" s="24"/>
      <c r="J547" s="13"/>
    </row>
    <row r="548" spans="3:10" ht="14.25" customHeight="1" x14ac:dyDescent="0.25">
      <c r="C548" s="23"/>
      <c r="D548" s="10"/>
      <c r="H548" s="24"/>
      <c r="I548" s="24"/>
      <c r="J548" s="13"/>
    </row>
    <row r="549" spans="3:10" ht="14.25" customHeight="1" x14ac:dyDescent="0.25">
      <c r="C549" s="23"/>
      <c r="D549" s="10"/>
      <c r="H549" s="24"/>
      <c r="I549" s="24"/>
      <c r="J549" s="13"/>
    </row>
    <row r="550" spans="3:10" ht="14.25" customHeight="1" x14ac:dyDescent="0.25">
      <c r="C550" s="23"/>
      <c r="D550" s="10"/>
      <c r="H550" s="24"/>
      <c r="I550" s="24"/>
      <c r="J550" s="13"/>
    </row>
    <row r="551" spans="3:10" ht="14.25" customHeight="1" x14ac:dyDescent="0.25">
      <c r="C551" s="23"/>
      <c r="D551" s="10"/>
      <c r="H551" s="24"/>
      <c r="I551" s="24"/>
      <c r="J551" s="13"/>
    </row>
    <row r="552" spans="3:10" ht="14.25" customHeight="1" x14ac:dyDescent="0.25">
      <c r="C552" s="23"/>
      <c r="D552" s="10"/>
      <c r="H552" s="24"/>
      <c r="I552" s="24"/>
      <c r="J552" s="13"/>
    </row>
    <row r="553" spans="3:10" ht="14.25" customHeight="1" x14ac:dyDescent="0.25">
      <c r="C553" s="23"/>
      <c r="D553" s="10"/>
      <c r="H553" s="24"/>
      <c r="I553" s="24"/>
      <c r="J553" s="13"/>
    </row>
    <row r="554" spans="3:10" ht="14.25" customHeight="1" x14ac:dyDescent="0.25">
      <c r="C554" s="23"/>
      <c r="D554" s="10"/>
      <c r="H554" s="24"/>
      <c r="I554" s="24"/>
      <c r="J554" s="13"/>
    </row>
    <row r="555" spans="3:10" ht="14.25" customHeight="1" x14ac:dyDescent="0.25">
      <c r="C555" s="23"/>
      <c r="D555" s="10"/>
      <c r="H555" s="24"/>
      <c r="I555" s="24"/>
      <c r="J555" s="13"/>
    </row>
    <row r="556" spans="3:10" ht="14.25" customHeight="1" x14ac:dyDescent="0.25">
      <c r="C556" s="23"/>
      <c r="D556" s="10"/>
      <c r="H556" s="24"/>
      <c r="I556" s="24"/>
      <c r="J556" s="13"/>
    </row>
    <row r="557" spans="3:10" ht="14.25" customHeight="1" x14ac:dyDescent="0.25">
      <c r="C557" s="23"/>
      <c r="D557" s="10"/>
      <c r="H557" s="24"/>
      <c r="I557" s="24"/>
      <c r="J557" s="13"/>
    </row>
    <row r="558" spans="3:10" ht="14.25" customHeight="1" x14ac:dyDescent="0.25">
      <c r="C558" s="23"/>
      <c r="D558" s="10"/>
      <c r="H558" s="24"/>
      <c r="I558" s="24"/>
      <c r="J558" s="13"/>
    </row>
    <row r="559" spans="3:10" ht="14.25" customHeight="1" x14ac:dyDescent="0.25">
      <c r="C559" s="23"/>
      <c r="D559" s="10"/>
      <c r="H559" s="24"/>
      <c r="I559" s="24"/>
      <c r="J559" s="13"/>
    </row>
    <row r="560" spans="3:10" ht="14.25" customHeight="1" x14ac:dyDescent="0.25">
      <c r="C560" s="23"/>
      <c r="D560" s="10"/>
      <c r="H560" s="24"/>
      <c r="I560" s="24"/>
      <c r="J560" s="13"/>
    </row>
    <row r="561" spans="3:10" ht="14.25" customHeight="1" x14ac:dyDescent="0.25">
      <c r="C561" s="23"/>
      <c r="D561" s="10"/>
      <c r="H561" s="24"/>
      <c r="I561" s="24"/>
      <c r="J561" s="13"/>
    </row>
    <row r="562" spans="3:10" ht="14.25" customHeight="1" x14ac:dyDescent="0.25">
      <c r="C562" s="23"/>
      <c r="D562" s="10"/>
      <c r="H562" s="24"/>
      <c r="I562" s="24"/>
      <c r="J562" s="13"/>
    </row>
    <row r="563" spans="3:10" ht="14.25" customHeight="1" x14ac:dyDescent="0.25">
      <c r="C563" s="23"/>
      <c r="D563" s="10"/>
      <c r="H563" s="24"/>
      <c r="I563" s="24"/>
      <c r="J563" s="13"/>
    </row>
    <row r="564" spans="3:10" ht="14.25" customHeight="1" x14ac:dyDescent="0.25">
      <c r="C564" s="23"/>
      <c r="D564" s="10"/>
      <c r="H564" s="24"/>
      <c r="I564" s="24"/>
      <c r="J564" s="13"/>
    </row>
    <row r="565" spans="3:10" ht="14.25" customHeight="1" x14ac:dyDescent="0.25">
      <c r="C565" s="23"/>
      <c r="D565" s="10"/>
      <c r="H565" s="24"/>
      <c r="I565" s="24"/>
      <c r="J565" s="13"/>
    </row>
    <row r="566" spans="3:10" ht="14.25" customHeight="1" x14ac:dyDescent="0.25">
      <c r="C566" s="23"/>
      <c r="D566" s="10"/>
      <c r="H566" s="24"/>
      <c r="I566" s="24"/>
      <c r="J566" s="13"/>
    </row>
    <row r="567" spans="3:10" ht="14.25" customHeight="1" x14ac:dyDescent="0.25">
      <c r="C567" s="23"/>
      <c r="D567" s="10"/>
      <c r="H567" s="24"/>
      <c r="I567" s="24"/>
      <c r="J567" s="13"/>
    </row>
    <row r="568" spans="3:10" ht="14.25" customHeight="1" x14ac:dyDescent="0.25">
      <c r="C568" s="23"/>
      <c r="D568" s="10"/>
      <c r="H568" s="24"/>
      <c r="I568" s="24"/>
      <c r="J568" s="13"/>
    </row>
    <row r="569" spans="3:10" ht="14.25" customHeight="1" x14ac:dyDescent="0.25">
      <c r="C569" s="23"/>
      <c r="D569" s="10"/>
      <c r="H569" s="24"/>
      <c r="I569" s="24"/>
      <c r="J569" s="13"/>
    </row>
    <row r="570" spans="3:10" ht="14.25" customHeight="1" x14ac:dyDescent="0.25">
      <c r="C570" s="23"/>
      <c r="D570" s="10"/>
      <c r="H570" s="24"/>
      <c r="I570" s="24"/>
      <c r="J570" s="13"/>
    </row>
    <row r="571" spans="3:10" ht="14.25" customHeight="1" x14ac:dyDescent="0.25">
      <c r="C571" s="23"/>
      <c r="D571" s="10"/>
      <c r="H571" s="24"/>
      <c r="I571" s="24"/>
      <c r="J571" s="13"/>
    </row>
    <row r="572" spans="3:10" ht="14.25" customHeight="1" x14ac:dyDescent="0.25">
      <c r="C572" s="23"/>
      <c r="D572" s="10"/>
      <c r="H572" s="24"/>
      <c r="I572" s="24"/>
      <c r="J572" s="13"/>
    </row>
    <row r="573" spans="3:10" ht="14.25" customHeight="1" x14ac:dyDescent="0.25">
      <c r="C573" s="23"/>
      <c r="D573" s="10"/>
      <c r="H573" s="24"/>
      <c r="I573" s="24"/>
      <c r="J573" s="13"/>
    </row>
    <row r="574" spans="3:10" ht="14.25" customHeight="1" x14ac:dyDescent="0.25">
      <c r="C574" s="23"/>
      <c r="D574" s="10"/>
      <c r="H574" s="24"/>
      <c r="I574" s="24"/>
      <c r="J574" s="13"/>
    </row>
    <row r="575" spans="3:10" ht="14.25" customHeight="1" x14ac:dyDescent="0.25">
      <c r="C575" s="23"/>
      <c r="D575" s="10"/>
      <c r="H575" s="24"/>
      <c r="I575" s="24"/>
      <c r="J575" s="13"/>
    </row>
    <row r="576" spans="3:10" ht="14.25" customHeight="1" x14ac:dyDescent="0.25">
      <c r="C576" s="23"/>
      <c r="D576" s="10"/>
      <c r="H576" s="24"/>
      <c r="I576" s="24"/>
      <c r="J576" s="13"/>
    </row>
    <row r="577" spans="3:10" ht="14.25" customHeight="1" x14ac:dyDescent="0.25">
      <c r="C577" s="23"/>
      <c r="D577" s="10"/>
      <c r="H577" s="24"/>
      <c r="I577" s="24"/>
      <c r="J577" s="13"/>
    </row>
    <row r="578" spans="3:10" ht="14.25" customHeight="1" x14ac:dyDescent="0.25">
      <c r="C578" s="23"/>
      <c r="D578" s="10"/>
      <c r="H578" s="24"/>
      <c r="I578" s="24"/>
      <c r="J578" s="13"/>
    </row>
    <row r="579" spans="3:10" ht="14.25" customHeight="1" x14ac:dyDescent="0.25">
      <c r="C579" s="23"/>
      <c r="D579" s="10"/>
      <c r="H579" s="24"/>
      <c r="I579" s="24"/>
      <c r="J579" s="13"/>
    </row>
    <row r="580" spans="3:10" ht="14.25" customHeight="1" x14ac:dyDescent="0.25">
      <c r="C580" s="23"/>
      <c r="D580" s="10"/>
      <c r="H580" s="24"/>
      <c r="I580" s="24"/>
      <c r="J580" s="13"/>
    </row>
    <row r="581" spans="3:10" ht="14.25" customHeight="1" x14ac:dyDescent="0.25">
      <c r="C581" s="23"/>
      <c r="D581" s="10"/>
      <c r="H581" s="24"/>
      <c r="I581" s="24"/>
      <c r="J581" s="13"/>
    </row>
    <row r="582" spans="3:10" ht="14.25" customHeight="1" x14ac:dyDescent="0.25">
      <c r="C582" s="23"/>
      <c r="D582" s="10"/>
      <c r="H582" s="24"/>
      <c r="I582" s="24"/>
      <c r="J582" s="13"/>
    </row>
    <row r="583" spans="3:10" ht="14.25" customHeight="1" x14ac:dyDescent="0.25">
      <c r="C583" s="23"/>
      <c r="D583" s="10"/>
      <c r="H583" s="24"/>
      <c r="I583" s="24"/>
      <c r="J583" s="13"/>
    </row>
    <row r="584" spans="3:10" ht="14.25" customHeight="1" x14ac:dyDescent="0.25">
      <c r="C584" s="23"/>
      <c r="D584" s="10"/>
      <c r="H584" s="24"/>
      <c r="I584" s="24"/>
      <c r="J584" s="13"/>
    </row>
    <row r="585" spans="3:10" ht="14.25" customHeight="1" x14ac:dyDescent="0.25">
      <c r="C585" s="23"/>
      <c r="D585" s="10"/>
      <c r="H585" s="24"/>
      <c r="I585" s="24"/>
      <c r="J585" s="13"/>
    </row>
    <row r="586" spans="3:10" ht="14.25" customHeight="1" x14ac:dyDescent="0.25">
      <c r="C586" s="23"/>
      <c r="D586" s="10"/>
      <c r="H586" s="24"/>
      <c r="I586" s="24"/>
      <c r="J586" s="13"/>
    </row>
    <row r="587" spans="3:10" ht="14.25" customHeight="1" x14ac:dyDescent="0.25">
      <c r="C587" s="23"/>
      <c r="D587" s="10"/>
      <c r="H587" s="24"/>
      <c r="I587" s="24"/>
      <c r="J587" s="13"/>
    </row>
    <row r="588" spans="3:10" ht="14.25" customHeight="1" x14ac:dyDescent="0.25">
      <c r="C588" s="23"/>
      <c r="D588" s="10"/>
      <c r="H588" s="24"/>
      <c r="I588" s="24"/>
      <c r="J588" s="13"/>
    </row>
    <row r="589" spans="3:10" ht="14.25" customHeight="1" x14ac:dyDescent="0.25">
      <c r="C589" s="23"/>
      <c r="D589" s="10"/>
      <c r="H589" s="24"/>
      <c r="I589" s="24"/>
      <c r="J589" s="13"/>
    </row>
    <row r="590" spans="3:10" ht="14.25" customHeight="1" x14ac:dyDescent="0.25">
      <c r="C590" s="23"/>
      <c r="D590" s="10"/>
      <c r="H590" s="24"/>
      <c r="I590" s="24"/>
      <c r="J590" s="13"/>
    </row>
    <row r="591" spans="3:10" ht="14.25" customHeight="1" x14ac:dyDescent="0.25">
      <c r="C591" s="23"/>
      <c r="D591" s="10"/>
      <c r="H591" s="24"/>
      <c r="I591" s="24"/>
      <c r="J591" s="13"/>
    </row>
    <row r="592" spans="3:10" ht="14.25" customHeight="1" x14ac:dyDescent="0.25">
      <c r="C592" s="23"/>
      <c r="D592" s="10"/>
      <c r="H592" s="24"/>
      <c r="I592" s="24"/>
      <c r="J592" s="13"/>
    </row>
    <row r="593" spans="3:10" ht="14.25" customHeight="1" x14ac:dyDescent="0.25">
      <c r="C593" s="23"/>
      <c r="D593" s="10"/>
      <c r="H593" s="24"/>
      <c r="I593" s="24"/>
      <c r="J593" s="13"/>
    </row>
    <row r="594" spans="3:10" ht="14.25" customHeight="1" x14ac:dyDescent="0.25">
      <c r="C594" s="23"/>
      <c r="D594" s="10"/>
      <c r="H594" s="24"/>
      <c r="I594" s="24"/>
      <c r="J594" s="13"/>
    </row>
    <row r="595" spans="3:10" ht="14.25" customHeight="1" x14ac:dyDescent="0.25">
      <c r="C595" s="23"/>
      <c r="D595" s="10"/>
      <c r="H595" s="24"/>
      <c r="I595" s="24"/>
      <c r="J595" s="13"/>
    </row>
    <row r="596" spans="3:10" ht="14.25" customHeight="1" x14ac:dyDescent="0.25">
      <c r="C596" s="23"/>
      <c r="D596" s="10"/>
      <c r="H596" s="24"/>
      <c r="I596" s="24"/>
      <c r="J596" s="13"/>
    </row>
    <row r="597" spans="3:10" ht="14.25" customHeight="1" x14ac:dyDescent="0.25">
      <c r="C597" s="23"/>
      <c r="D597" s="10"/>
      <c r="H597" s="24"/>
      <c r="I597" s="24"/>
      <c r="J597" s="13"/>
    </row>
    <row r="598" spans="3:10" ht="14.25" customHeight="1" x14ac:dyDescent="0.25">
      <c r="C598" s="23"/>
      <c r="D598" s="10"/>
      <c r="H598" s="24"/>
      <c r="I598" s="24"/>
      <c r="J598" s="13"/>
    </row>
    <row r="599" spans="3:10" ht="14.25" customHeight="1" x14ac:dyDescent="0.25">
      <c r="C599" s="23"/>
      <c r="D599" s="10"/>
      <c r="H599" s="24"/>
      <c r="I599" s="24"/>
      <c r="J599" s="13"/>
    </row>
    <row r="600" spans="3:10" ht="14.25" customHeight="1" x14ac:dyDescent="0.25">
      <c r="C600" s="23"/>
      <c r="D600" s="10"/>
      <c r="H600" s="24"/>
      <c r="I600" s="24"/>
      <c r="J600" s="13"/>
    </row>
    <row r="601" spans="3:10" ht="14.25" customHeight="1" x14ac:dyDescent="0.25">
      <c r="C601" s="23"/>
      <c r="D601" s="10"/>
      <c r="H601" s="24"/>
      <c r="I601" s="24"/>
      <c r="J601" s="13"/>
    </row>
    <row r="602" spans="3:10" ht="14.25" customHeight="1" x14ac:dyDescent="0.25">
      <c r="C602" s="23"/>
      <c r="D602" s="10"/>
      <c r="H602" s="24"/>
      <c r="I602" s="24"/>
      <c r="J602" s="13"/>
    </row>
    <row r="603" spans="3:10" ht="14.25" customHeight="1" x14ac:dyDescent="0.25">
      <c r="C603" s="23"/>
      <c r="D603" s="10"/>
      <c r="H603" s="24"/>
      <c r="I603" s="24"/>
      <c r="J603" s="13"/>
    </row>
    <row r="604" spans="3:10" ht="14.25" customHeight="1" x14ac:dyDescent="0.25">
      <c r="C604" s="23"/>
      <c r="D604" s="10"/>
      <c r="H604" s="24"/>
      <c r="I604" s="24"/>
      <c r="J604" s="13"/>
    </row>
    <row r="605" spans="3:10" ht="14.25" customHeight="1" x14ac:dyDescent="0.25">
      <c r="C605" s="23"/>
      <c r="D605" s="10"/>
      <c r="H605" s="24"/>
      <c r="I605" s="24"/>
      <c r="J605" s="13"/>
    </row>
    <row r="606" spans="3:10" ht="14.25" customHeight="1" x14ac:dyDescent="0.25">
      <c r="C606" s="23"/>
      <c r="D606" s="10"/>
      <c r="H606" s="24"/>
      <c r="I606" s="24"/>
      <c r="J606" s="13"/>
    </row>
    <row r="607" spans="3:10" ht="14.25" customHeight="1" x14ac:dyDescent="0.25">
      <c r="C607" s="23"/>
      <c r="D607" s="10"/>
      <c r="H607" s="24"/>
      <c r="I607" s="24"/>
      <c r="J607" s="13"/>
    </row>
    <row r="608" spans="3:10" ht="14.25" customHeight="1" x14ac:dyDescent="0.25">
      <c r="C608" s="23"/>
      <c r="D608" s="10"/>
      <c r="H608" s="24"/>
      <c r="I608" s="24"/>
      <c r="J608" s="13"/>
    </row>
    <row r="609" spans="3:10" ht="14.25" customHeight="1" x14ac:dyDescent="0.25">
      <c r="C609" s="23"/>
      <c r="D609" s="10"/>
      <c r="H609" s="24"/>
      <c r="I609" s="24"/>
      <c r="J609" s="13"/>
    </row>
    <row r="610" spans="3:10" ht="14.25" customHeight="1" x14ac:dyDescent="0.25">
      <c r="C610" s="23"/>
      <c r="D610" s="10"/>
      <c r="H610" s="24"/>
      <c r="I610" s="24"/>
      <c r="J610" s="13"/>
    </row>
    <row r="611" spans="3:10" ht="14.25" customHeight="1" x14ac:dyDescent="0.25">
      <c r="C611" s="23"/>
      <c r="D611" s="10"/>
      <c r="H611" s="24"/>
      <c r="I611" s="24"/>
      <c r="J611" s="13"/>
    </row>
    <row r="612" spans="3:10" ht="14.25" customHeight="1" x14ac:dyDescent="0.25">
      <c r="C612" s="23"/>
      <c r="D612" s="10"/>
      <c r="H612" s="24"/>
      <c r="I612" s="24"/>
      <c r="J612" s="13"/>
    </row>
    <row r="613" spans="3:10" ht="14.25" customHeight="1" x14ac:dyDescent="0.25">
      <c r="C613" s="23"/>
      <c r="D613" s="10"/>
      <c r="H613" s="24"/>
      <c r="I613" s="24"/>
      <c r="J613" s="13"/>
    </row>
    <row r="614" spans="3:10" ht="14.25" customHeight="1" x14ac:dyDescent="0.25">
      <c r="C614" s="23"/>
      <c r="D614" s="10"/>
      <c r="H614" s="24"/>
      <c r="I614" s="24"/>
      <c r="J614" s="13"/>
    </row>
    <row r="615" spans="3:10" ht="14.25" customHeight="1" x14ac:dyDescent="0.25">
      <c r="C615" s="23"/>
      <c r="D615" s="10"/>
      <c r="H615" s="24"/>
      <c r="I615" s="24"/>
      <c r="J615" s="13"/>
    </row>
    <row r="616" spans="3:10" ht="14.25" customHeight="1" x14ac:dyDescent="0.25">
      <c r="C616" s="23"/>
      <c r="D616" s="10"/>
      <c r="H616" s="24"/>
      <c r="I616" s="24"/>
      <c r="J616" s="13"/>
    </row>
    <row r="617" spans="3:10" ht="14.25" customHeight="1" x14ac:dyDescent="0.25">
      <c r="C617" s="23"/>
      <c r="D617" s="10"/>
      <c r="H617" s="24"/>
      <c r="I617" s="24"/>
      <c r="J617" s="13"/>
    </row>
    <row r="618" spans="3:10" ht="14.25" customHeight="1" x14ac:dyDescent="0.25">
      <c r="C618" s="23"/>
      <c r="D618" s="10"/>
      <c r="H618" s="24"/>
      <c r="I618" s="24"/>
      <c r="J618" s="13"/>
    </row>
    <row r="619" spans="3:10" ht="14.25" customHeight="1" x14ac:dyDescent="0.25">
      <c r="C619" s="23"/>
      <c r="D619" s="10"/>
      <c r="H619" s="24"/>
      <c r="I619" s="24"/>
      <c r="J619" s="13"/>
    </row>
    <row r="620" spans="3:10" ht="14.25" customHeight="1" x14ac:dyDescent="0.25">
      <c r="C620" s="23"/>
      <c r="D620" s="10"/>
      <c r="H620" s="24"/>
      <c r="I620" s="24"/>
      <c r="J620" s="13"/>
    </row>
    <row r="621" spans="3:10" ht="14.25" customHeight="1" x14ac:dyDescent="0.25">
      <c r="C621" s="23"/>
      <c r="D621" s="10"/>
      <c r="H621" s="24"/>
      <c r="I621" s="24"/>
      <c r="J621" s="13"/>
    </row>
    <row r="622" spans="3:10" ht="14.25" customHeight="1" x14ac:dyDescent="0.25">
      <c r="C622" s="23"/>
      <c r="D622" s="10"/>
      <c r="H622" s="24"/>
      <c r="I622" s="24"/>
      <c r="J622" s="13"/>
    </row>
    <row r="623" spans="3:10" ht="14.25" customHeight="1" x14ac:dyDescent="0.25">
      <c r="C623" s="23"/>
      <c r="D623" s="10"/>
      <c r="H623" s="24"/>
      <c r="I623" s="24"/>
      <c r="J623" s="13"/>
    </row>
    <row r="624" spans="3:10" ht="14.25" customHeight="1" x14ac:dyDescent="0.25">
      <c r="C624" s="23"/>
      <c r="D624" s="10"/>
      <c r="H624" s="24"/>
      <c r="I624" s="24"/>
      <c r="J624" s="13"/>
    </row>
    <row r="625" spans="3:10" ht="14.25" customHeight="1" x14ac:dyDescent="0.25">
      <c r="C625" s="23"/>
      <c r="D625" s="10"/>
      <c r="H625" s="24"/>
      <c r="I625" s="24"/>
      <c r="J625" s="13"/>
    </row>
    <row r="626" spans="3:10" ht="14.25" customHeight="1" x14ac:dyDescent="0.25">
      <c r="C626" s="23"/>
      <c r="D626" s="10"/>
      <c r="H626" s="24"/>
      <c r="I626" s="24"/>
      <c r="J626" s="13"/>
    </row>
    <row r="627" spans="3:10" ht="14.25" customHeight="1" x14ac:dyDescent="0.25">
      <c r="C627" s="23"/>
      <c r="D627" s="10"/>
      <c r="H627" s="24"/>
      <c r="I627" s="24"/>
      <c r="J627" s="13"/>
    </row>
    <row r="628" spans="3:10" ht="14.25" customHeight="1" x14ac:dyDescent="0.25">
      <c r="C628" s="23"/>
      <c r="D628" s="10"/>
      <c r="H628" s="24"/>
      <c r="I628" s="24"/>
      <c r="J628" s="13"/>
    </row>
    <row r="629" spans="3:10" ht="14.25" customHeight="1" x14ac:dyDescent="0.25">
      <c r="C629" s="23"/>
      <c r="D629" s="10"/>
      <c r="H629" s="24"/>
      <c r="I629" s="24"/>
      <c r="J629" s="13"/>
    </row>
    <row r="630" spans="3:10" ht="14.25" customHeight="1" x14ac:dyDescent="0.25">
      <c r="C630" s="23"/>
      <c r="D630" s="10"/>
      <c r="H630" s="24"/>
      <c r="I630" s="24"/>
      <c r="J630" s="13"/>
    </row>
    <row r="631" spans="3:10" ht="14.25" customHeight="1" x14ac:dyDescent="0.25">
      <c r="C631" s="23"/>
      <c r="D631" s="10"/>
      <c r="H631" s="24"/>
      <c r="I631" s="24"/>
      <c r="J631" s="13"/>
    </row>
    <row r="632" spans="3:10" ht="14.25" customHeight="1" x14ac:dyDescent="0.25">
      <c r="C632" s="23"/>
      <c r="D632" s="10"/>
      <c r="H632" s="24"/>
      <c r="I632" s="24"/>
      <c r="J632" s="13"/>
    </row>
    <row r="633" spans="3:10" ht="14.25" customHeight="1" x14ac:dyDescent="0.25">
      <c r="C633" s="23"/>
      <c r="D633" s="10"/>
      <c r="H633" s="24"/>
      <c r="I633" s="24"/>
      <c r="J633" s="13"/>
    </row>
    <row r="634" spans="3:10" ht="14.25" customHeight="1" x14ac:dyDescent="0.25">
      <c r="C634" s="23"/>
      <c r="D634" s="10"/>
      <c r="H634" s="24"/>
      <c r="I634" s="24"/>
      <c r="J634" s="13"/>
    </row>
    <row r="635" spans="3:10" ht="14.25" customHeight="1" x14ac:dyDescent="0.25">
      <c r="C635" s="23"/>
      <c r="D635" s="10"/>
      <c r="H635" s="24"/>
      <c r="I635" s="24"/>
      <c r="J635" s="13"/>
    </row>
    <row r="636" spans="3:10" ht="14.25" customHeight="1" x14ac:dyDescent="0.25">
      <c r="C636" s="23"/>
      <c r="D636" s="10"/>
      <c r="H636" s="24"/>
      <c r="I636" s="24"/>
      <c r="J636" s="13"/>
    </row>
    <row r="637" spans="3:10" ht="14.25" customHeight="1" x14ac:dyDescent="0.25">
      <c r="C637" s="23"/>
      <c r="D637" s="10"/>
      <c r="H637" s="24"/>
      <c r="I637" s="24"/>
      <c r="J637" s="13"/>
    </row>
    <row r="638" spans="3:10" ht="14.25" customHeight="1" x14ac:dyDescent="0.25">
      <c r="C638" s="23"/>
      <c r="D638" s="10"/>
      <c r="H638" s="24"/>
      <c r="I638" s="24"/>
      <c r="J638" s="13"/>
    </row>
    <row r="639" spans="3:10" ht="14.25" customHeight="1" x14ac:dyDescent="0.25">
      <c r="C639" s="23"/>
      <c r="D639" s="10"/>
      <c r="H639" s="24"/>
      <c r="I639" s="24"/>
      <c r="J639" s="13"/>
    </row>
    <row r="640" spans="3:10" ht="14.25" customHeight="1" x14ac:dyDescent="0.25">
      <c r="C640" s="23"/>
      <c r="D640" s="10"/>
      <c r="H640" s="24"/>
      <c r="I640" s="24"/>
      <c r="J640" s="13"/>
    </row>
    <row r="641" spans="3:10" ht="14.25" customHeight="1" x14ac:dyDescent="0.25">
      <c r="C641" s="23"/>
      <c r="D641" s="10"/>
      <c r="H641" s="24"/>
      <c r="I641" s="24"/>
      <c r="J641" s="13"/>
    </row>
    <row r="642" spans="3:10" ht="14.25" customHeight="1" x14ac:dyDescent="0.25">
      <c r="C642" s="23"/>
      <c r="D642" s="10"/>
      <c r="H642" s="24"/>
      <c r="I642" s="24"/>
      <c r="J642" s="13"/>
    </row>
    <row r="643" spans="3:10" ht="14.25" customHeight="1" x14ac:dyDescent="0.25">
      <c r="C643" s="23"/>
      <c r="D643" s="10"/>
      <c r="H643" s="24"/>
      <c r="I643" s="24"/>
      <c r="J643" s="13"/>
    </row>
    <row r="644" spans="3:10" ht="14.25" customHeight="1" x14ac:dyDescent="0.25">
      <c r="C644" s="23"/>
      <c r="D644" s="10"/>
      <c r="H644" s="24"/>
      <c r="I644" s="24"/>
      <c r="J644" s="13"/>
    </row>
    <row r="645" spans="3:10" ht="14.25" customHeight="1" x14ac:dyDescent="0.25">
      <c r="C645" s="23"/>
      <c r="D645" s="10"/>
      <c r="H645" s="24"/>
      <c r="I645" s="24"/>
      <c r="J645" s="13"/>
    </row>
    <row r="646" spans="3:10" ht="14.25" customHeight="1" x14ac:dyDescent="0.25">
      <c r="C646" s="23"/>
      <c r="D646" s="10"/>
      <c r="H646" s="24"/>
      <c r="I646" s="24"/>
      <c r="J646" s="13"/>
    </row>
    <row r="647" spans="3:10" ht="14.25" customHeight="1" x14ac:dyDescent="0.25">
      <c r="C647" s="23"/>
      <c r="D647" s="10"/>
      <c r="H647" s="24"/>
      <c r="I647" s="24"/>
      <c r="J647" s="13"/>
    </row>
    <row r="648" spans="3:10" ht="14.25" customHeight="1" x14ac:dyDescent="0.25">
      <c r="C648" s="23"/>
      <c r="D648" s="10"/>
      <c r="H648" s="24"/>
      <c r="I648" s="24"/>
      <c r="J648" s="13"/>
    </row>
    <row r="649" spans="3:10" ht="14.25" customHeight="1" x14ac:dyDescent="0.25">
      <c r="C649" s="23"/>
      <c r="D649" s="10"/>
      <c r="H649" s="24"/>
      <c r="I649" s="24"/>
      <c r="J649" s="13"/>
    </row>
    <row r="650" spans="3:10" ht="14.25" customHeight="1" x14ac:dyDescent="0.25">
      <c r="C650" s="23"/>
      <c r="D650" s="10"/>
      <c r="H650" s="24"/>
      <c r="I650" s="24"/>
      <c r="J650" s="13"/>
    </row>
    <row r="651" spans="3:10" ht="14.25" customHeight="1" x14ac:dyDescent="0.25">
      <c r="C651" s="23"/>
      <c r="D651" s="10"/>
      <c r="H651" s="24"/>
      <c r="I651" s="24"/>
      <c r="J651" s="13"/>
    </row>
    <row r="652" spans="3:10" ht="14.25" customHeight="1" x14ac:dyDescent="0.25">
      <c r="C652" s="23"/>
      <c r="D652" s="10"/>
      <c r="H652" s="24"/>
      <c r="I652" s="24"/>
      <c r="J652" s="13"/>
    </row>
    <row r="653" spans="3:10" ht="14.25" customHeight="1" x14ac:dyDescent="0.25">
      <c r="C653" s="23"/>
      <c r="D653" s="10"/>
      <c r="H653" s="24"/>
      <c r="I653" s="24"/>
      <c r="J653" s="13"/>
    </row>
    <row r="654" spans="3:10" ht="14.25" customHeight="1" x14ac:dyDescent="0.25">
      <c r="C654" s="23"/>
      <c r="D654" s="10"/>
      <c r="H654" s="24"/>
      <c r="I654" s="24"/>
      <c r="J654" s="13"/>
    </row>
    <row r="655" spans="3:10" ht="14.25" customHeight="1" x14ac:dyDescent="0.25">
      <c r="C655" s="23"/>
      <c r="D655" s="10"/>
      <c r="H655" s="24"/>
      <c r="I655" s="24"/>
      <c r="J655" s="13"/>
    </row>
    <row r="656" spans="3:10" ht="14.25" customHeight="1" x14ac:dyDescent="0.25">
      <c r="C656" s="23"/>
      <c r="D656" s="10"/>
      <c r="H656" s="24"/>
      <c r="I656" s="24"/>
      <c r="J656" s="13"/>
    </row>
    <row r="657" spans="3:10" ht="14.25" customHeight="1" x14ac:dyDescent="0.25">
      <c r="C657" s="23"/>
      <c r="D657" s="10"/>
      <c r="H657" s="24"/>
      <c r="I657" s="24"/>
      <c r="J657" s="13"/>
    </row>
    <row r="658" spans="3:10" ht="14.25" customHeight="1" x14ac:dyDescent="0.25">
      <c r="C658" s="23"/>
      <c r="D658" s="10"/>
      <c r="H658" s="24"/>
      <c r="I658" s="24"/>
      <c r="J658" s="13"/>
    </row>
    <row r="659" spans="3:10" ht="14.25" customHeight="1" x14ac:dyDescent="0.25">
      <c r="C659" s="23"/>
      <c r="D659" s="10"/>
      <c r="H659" s="24"/>
      <c r="I659" s="24"/>
      <c r="J659" s="13"/>
    </row>
    <row r="660" spans="3:10" ht="14.25" customHeight="1" x14ac:dyDescent="0.25">
      <c r="C660" s="23"/>
      <c r="D660" s="10"/>
      <c r="H660" s="24"/>
      <c r="I660" s="24"/>
      <c r="J660" s="13"/>
    </row>
    <row r="661" spans="3:10" ht="14.25" customHeight="1" x14ac:dyDescent="0.25">
      <c r="C661" s="23"/>
      <c r="D661" s="10"/>
      <c r="H661" s="24"/>
      <c r="I661" s="24"/>
      <c r="J661" s="13"/>
    </row>
    <row r="662" spans="3:10" ht="14.25" customHeight="1" x14ac:dyDescent="0.25">
      <c r="C662" s="23"/>
      <c r="D662" s="10"/>
      <c r="H662" s="24"/>
      <c r="I662" s="24"/>
      <c r="J662" s="13"/>
    </row>
    <row r="663" spans="3:10" ht="14.25" customHeight="1" x14ac:dyDescent="0.25">
      <c r="C663" s="23"/>
      <c r="D663" s="10"/>
      <c r="H663" s="24"/>
      <c r="I663" s="24"/>
      <c r="J663" s="13"/>
    </row>
    <row r="664" spans="3:10" ht="14.25" customHeight="1" x14ac:dyDescent="0.25">
      <c r="C664" s="23"/>
      <c r="D664" s="10"/>
      <c r="H664" s="24"/>
      <c r="I664" s="24"/>
      <c r="J664" s="13"/>
    </row>
    <row r="665" spans="3:10" ht="14.25" customHeight="1" x14ac:dyDescent="0.25">
      <c r="C665" s="23"/>
      <c r="D665" s="10"/>
      <c r="H665" s="24"/>
      <c r="I665" s="24"/>
      <c r="J665" s="13"/>
    </row>
    <row r="666" spans="3:10" ht="14.25" customHeight="1" x14ac:dyDescent="0.25">
      <c r="C666" s="23"/>
      <c r="D666" s="10"/>
      <c r="H666" s="24"/>
      <c r="I666" s="24"/>
      <c r="J666" s="13"/>
    </row>
    <row r="667" spans="3:10" ht="14.25" customHeight="1" x14ac:dyDescent="0.25">
      <c r="C667" s="23"/>
      <c r="D667" s="10"/>
      <c r="H667" s="24"/>
      <c r="I667" s="24"/>
      <c r="J667" s="13"/>
    </row>
    <row r="668" spans="3:10" ht="14.25" customHeight="1" x14ac:dyDescent="0.25">
      <c r="C668" s="23"/>
      <c r="D668" s="10"/>
      <c r="H668" s="24"/>
      <c r="I668" s="24"/>
      <c r="J668" s="13"/>
    </row>
    <row r="669" spans="3:10" ht="14.25" customHeight="1" x14ac:dyDescent="0.25">
      <c r="C669" s="23"/>
      <c r="D669" s="10"/>
      <c r="H669" s="24"/>
      <c r="I669" s="24"/>
      <c r="J669" s="13"/>
    </row>
    <row r="670" spans="3:10" ht="14.25" customHeight="1" x14ac:dyDescent="0.25">
      <c r="C670" s="23"/>
      <c r="D670" s="10"/>
      <c r="H670" s="24"/>
      <c r="I670" s="24"/>
      <c r="J670" s="13"/>
    </row>
    <row r="671" spans="3:10" ht="14.25" customHeight="1" x14ac:dyDescent="0.25">
      <c r="C671" s="23"/>
      <c r="D671" s="10"/>
      <c r="H671" s="24"/>
      <c r="I671" s="24"/>
      <c r="J671" s="13"/>
    </row>
    <row r="672" spans="3:10" ht="14.25" customHeight="1" x14ac:dyDescent="0.25">
      <c r="C672" s="23"/>
      <c r="D672" s="10"/>
      <c r="H672" s="24"/>
      <c r="I672" s="24"/>
      <c r="J672" s="13"/>
    </row>
    <row r="673" spans="3:10" ht="14.25" customHeight="1" x14ac:dyDescent="0.25">
      <c r="C673" s="23"/>
      <c r="D673" s="10"/>
      <c r="H673" s="24"/>
      <c r="I673" s="24"/>
      <c r="J673" s="13"/>
    </row>
    <row r="674" spans="3:10" ht="14.25" customHeight="1" x14ac:dyDescent="0.25">
      <c r="C674" s="23"/>
      <c r="D674" s="10"/>
      <c r="H674" s="24"/>
      <c r="I674" s="24"/>
      <c r="J674" s="13"/>
    </row>
    <row r="675" spans="3:10" ht="14.25" customHeight="1" x14ac:dyDescent="0.25">
      <c r="C675" s="23"/>
      <c r="D675" s="10"/>
      <c r="H675" s="24"/>
      <c r="I675" s="24"/>
      <c r="J675" s="13"/>
    </row>
    <row r="676" spans="3:10" ht="14.25" customHeight="1" x14ac:dyDescent="0.25">
      <c r="C676" s="23"/>
      <c r="D676" s="10"/>
      <c r="H676" s="24"/>
      <c r="I676" s="24"/>
      <c r="J676" s="13"/>
    </row>
    <row r="677" spans="3:10" ht="14.25" customHeight="1" x14ac:dyDescent="0.25">
      <c r="C677" s="23"/>
      <c r="D677" s="10"/>
      <c r="H677" s="24"/>
      <c r="I677" s="24"/>
      <c r="J677" s="13"/>
    </row>
    <row r="678" spans="3:10" ht="14.25" customHeight="1" x14ac:dyDescent="0.25">
      <c r="C678" s="23"/>
      <c r="D678" s="10"/>
      <c r="H678" s="24"/>
      <c r="I678" s="24"/>
      <c r="J678" s="13"/>
    </row>
    <row r="679" spans="3:10" ht="14.25" customHeight="1" x14ac:dyDescent="0.25">
      <c r="C679" s="23"/>
      <c r="D679" s="10"/>
      <c r="H679" s="24"/>
      <c r="I679" s="24"/>
      <c r="J679" s="13"/>
    </row>
    <row r="680" spans="3:10" ht="14.25" customHeight="1" x14ac:dyDescent="0.25">
      <c r="C680" s="23"/>
      <c r="D680" s="10"/>
      <c r="H680" s="24"/>
      <c r="I680" s="24"/>
      <c r="J680" s="13"/>
    </row>
    <row r="681" spans="3:10" ht="14.25" customHeight="1" x14ac:dyDescent="0.25">
      <c r="C681" s="23"/>
      <c r="D681" s="10"/>
      <c r="H681" s="24"/>
      <c r="I681" s="24"/>
      <c r="J681" s="13"/>
    </row>
    <row r="682" spans="3:10" ht="14.25" customHeight="1" x14ac:dyDescent="0.25">
      <c r="C682" s="23"/>
      <c r="D682" s="10"/>
      <c r="H682" s="24"/>
      <c r="I682" s="24"/>
      <c r="J682" s="13"/>
    </row>
    <row r="683" spans="3:10" ht="14.25" customHeight="1" x14ac:dyDescent="0.25">
      <c r="C683" s="23"/>
      <c r="D683" s="10"/>
      <c r="H683" s="24"/>
      <c r="I683" s="24"/>
      <c r="J683" s="13"/>
    </row>
    <row r="684" spans="3:10" ht="14.25" customHeight="1" x14ac:dyDescent="0.25">
      <c r="C684" s="23"/>
      <c r="D684" s="10"/>
      <c r="H684" s="24"/>
      <c r="I684" s="24"/>
      <c r="J684" s="13"/>
    </row>
    <row r="685" spans="3:10" ht="14.25" customHeight="1" x14ac:dyDescent="0.25">
      <c r="C685" s="23"/>
      <c r="D685" s="10"/>
      <c r="H685" s="24"/>
      <c r="I685" s="24"/>
      <c r="J685" s="13"/>
    </row>
    <row r="686" spans="3:10" ht="14.25" customHeight="1" x14ac:dyDescent="0.25">
      <c r="C686" s="23"/>
      <c r="D686" s="10"/>
      <c r="H686" s="24"/>
      <c r="I686" s="24"/>
      <c r="J686" s="13"/>
    </row>
    <row r="687" spans="3:10" ht="14.25" customHeight="1" x14ac:dyDescent="0.25">
      <c r="C687" s="23"/>
      <c r="D687" s="10"/>
      <c r="H687" s="24"/>
      <c r="I687" s="24"/>
      <c r="J687" s="13"/>
    </row>
    <row r="688" spans="3:10" ht="14.25" customHeight="1" x14ac:dyDescent="0.25">
      <c r="C688" s="23"/>
      <c r="D688" s="10"/>
      <c r="H688" s="24"/>
      <c r="I688" s="24"/>
      <c r="J688" s="13"/>
    </row>
    <row r="689" spans="3:10" ht="14.25" customHeight="1" x14ac:dyDescent="0.25">
      <c r="C689" s="23"/>
      <c r="D689" s="10"/>
      <c r="H689" s="24"/>
      <c r="I689" s="24"/>
      <c r="J689" s="13"/>
    </row>
    <row r="690" spans="3:10" ht="14.25" customHeight="1" x14ac:dyDescent="0.25">
      <c r="C690" s="23"/>
      <c r="D690" s="10"/>
      <c r="H690" s="24"/>
      <c r="I690" s="24"/>
      <c r="J690" s="13"/>
    </row>
    <row r="691" spans="3:10" ht="14.25" customHeight="1" x14ac:dyDescent="0.25">
      <c r="C691" s="23"/>
      <c r="D691" s="10"/>
      <c r="H691" s="24"/>
      <c r="I691" s="24"/>
      <c r="J691" s="13"/>
    </row>
    <row r="692" spans="3:10" ht="14.25" customHeight="1" x14ac:dyDescent="0.25">
      <c r="C692" s="23"/>
      <c r="D692" s="10"/>
      <c r="H692" s="24"/>
      <c r="I692" s="24"/>
      <c r="J692" s="13"/>
    </row>
    <row r="693" spans="3:10" ht="14.25" customHeight="1" x14ac:dyDescent="0.25">
      <c r="C693" s="23"/>
      <c r="D693" s="10"/>
      <c r="H693" s="24"/>
      <c r="I693" s="24"/>
      <c r="J693" s="13"/>
    </row>
    <row r="694" spans="3:10" ht="14.25" customHeight="1" x14ac:dyDescent="0.25">
      <c r="C694" s="23"/>
      <c r="D694" s="10"/>
      <c r="H694" s="24"/>
      <c r="I694" s="24"/>
      <c r="J694" s="13"/>
    </row>
    <row r="695" spans="3:10" ht="14.25" customHeight="1" x14ac:dyDescent="0.25">
      <c r="C695" s="23"/>
      <c r="D695" s="10"/>
      <c r="H695" s="24"/>
      <c r="I695" s="24"/>
      <c r="J695" s="13"/>
    </row>
    <row r="696" spans="3:10" ht="14.25" customHeight="1" x14ac:dyDescent="0.25">
      <c r="C696" s="23"/>
      <c r="D696" s="10"/>
      <c r="H696" s="24"/>
      <c r="I696" s="24"/>
      <c r="J696" s="13"/>
    </row>
    <row r="697" spans="3:10" ht="14.25" customHeight="1" x14ac:dyDescent="0.25">
      <c r="C697" s="23"/>
      <c r="D697" s="10"/>
      <c r="H697" s="24"/>
      <c r="I697" s="24"/>
      <c r="J697" s="13"/>
    </row>
    <row r="698" spans="3:10" ht="14.25" customHeight="1" x14ac:dyDescent="0.25">
      <c r="C698" s="23"/>
      <c r="D698" s="10"/>
      <c r="H698" s="24"/>
      <c r="I698" s="24"/>
      <c r="J698" s="13"/>
    </row>
    <row r="699" spans="3:10" ht="14.25" customHeight="1" x14ac:dyDescent="0.25">
      <c r="C699" s="23"/>
      <c r="D699" s="10"/>
      <c r="H699" s="24"/>
      <c r="I699" s="24"/>
      <c r="J699" s="13"/>
    </row>
    <row r="700" spans="3:10" ht="14.25" customHeight="1" x14ac:dyDescent="0.25">
      <c r="C700" s="23"/>
      <c r="D700" s="10"/>
      <c r="H700" s="24"/>
      <c r="I700" s="24"/>
      <c r="J700" s="13"/>
    </row>
    <row r="701" spans="3:10" ht="14.25" customHeight="1" x14ac:dyDescent="0.25">
      <c r="C701" s="23"/>
      <c r="D701" s="10"/>
      <c r="H701" s="24"/>
      <c r="I701" s="24"/>
      <c r="J701" s="13"/>
    </row>
    <row r="702" spans="3:10" ht="14.25" customHeight="1" x14ac:dyDescent="0.25">
      <c r="C702" s="23"/>
      <c r="D702" s="10"/>
      <c r="H702" s="24"/>
      <c r="I702" s="24"/>
      <c r="J702" s="13"/>
    </row>
    <row r="703" spans="3:10" ht="14.25" customHeight="1" x14ac:dyDescent="0.25">
      <c r="C703" s="23"/>
      <c r="D703" s="10"/>
      <c r="H703" s="24"/>
      <c r="I703" s="24"/>
      <c r="J703" s="13"/>
    </row>
    <row r="704" spans="3:10" ht="14.25" customHeight="1" x14ac:dyDescent="0.25">
      <c r="C704" s="23"/>
      <c r="D704" s="10"/>
      <c r="H704" s="24"/>
      <c r="I704" s="24"/>
      <c r="J704" s="13"/>
    </row>
    <row r="705" spans="3:10" ht="14.25" customHeight="1" x14ac:dyDescent="0.25">
      <c r="C705" s="23"/>
      <c r="D705" s="10"/>
      <c r="H705" s="24"/>
      <c r="I705" s="24"/>
      <c r="J705" s="13"/>
    </row>
    <row r="706" spans="3:10" ht="14.25" customHeight="1" x14ac:dyDescent="0.25">
      <c r="C706" s="23"/>
      <c r="D706" s="10"/>
      <c r="H706" s="24"/>
      <c r="I706" s="24"/>
      <c r="J706" s="13"/>
    </row>
    <row r="707" spans="3:10" ht="14.25" customHeight="1" x14ac:dyDescent="0.25">
      <c r="C707" s="23"/>
      <c r="D707" s="10"/>
      <c r="H707" s="24"/>
      <c r="I707" s="24"/>
      <c r="J707" s="13"/>
    </row>
    <row r="708" spans="3:10" ht="14.25" customHeight="1" x14ac:dyDescent="0.25">
      <c r="C708" s="23"/>
      <c r="D708" s="10"/>
      <c r="H708" s="24"/>
      <c r="I708" s="24"/>
      <c r="J708" s="13"/>
    </row>
    <row r="709" spans="3:10" ht="14.25" customHeight="1" x14ac:dyDescent="0.25">
      <c r="C709" s="23"/>
      <c r="D709" s="10"/>
      <c r="H709" s="24"/>
      <c r="I709" s="24"/>
      <c r="J709" s="13"/>
    </row>
    <row r="710" spans="3:10" ht="14.25" customHeight="1" x14ac:dyDescent="0.25">
      <c r="C710" s="23"/>
      <c r="D710" s="10"/>
      <c r="H710" s="24"/>
      <c r="I710" s="24"/>
      <c r="J710" s="13"/>
    </row>
    <row r="711" spans="3:10" ht="14.25" customHeight="1" x14ac:dyDescent="0.25">
      <c r="C711" s="23"/>
      <c r="D711" s="10"/>
      <c r="H711" s="24"/>
      <c r="I711" s="24"/>
      <c r="J711" s="13"/>
    </row>
    <row r="712" spans="3:10" ht="14.25" customHeight="1" x14ac:dyDescent="0.25">
      <c r="C712" s="23"/>
      <c r="D712" s="10"/>
      <c r="H712" s="24"/>
      <c r="I712" s="24"/>
      <c r="J712" s="13"/>
    </row>
    <row r="713" spans="3:10" ht="14.25" customHeight="1" x14ac:dyDescent="0.25">
      <c r="C713" s="23"/>
      <c r="D713" s="10"/>
      <c r="H713" s="24"/>
      <c r="I713" s="24"/>
      <c r="J713" s="13"/>
    </row>
    <row r="714" spans="3:10" ht="14.25" customHeight="1" x14ac:dyDescent="0.25">
      <c r="C714" s="23"/>
      <c r="D714" s="10"/>
      <c r="H714" s="24"/>
      <c r="I714" s="24"/>
      <c r="J714" s="13"/>
    </row>
    <row r="715" spans="3:10" ht="14.25" customHeight="1" x14ac:dyDescent="0.25">
      <c r="C715" s="23"/>
      <c r="D715" s="10"/>
      <c r="H715" s="24"/>
      <c r="I715" s="24"/>
      <c r="J715" s="13"/>
    </row>
    <row r="716" spans="3:10" ht="14.25" customHeight="1" x14ac:dyDescent="0.25">
      <c r="C716" s="23"/>
      <c r="D716" s="10"/>
      <c r="H716" s="24"/>
      <c r="I716" s="24"/>
      <c r="J716" s="13"/>
    </row>
    <row r="717" spans="3:10" ht="14.25" customHeight="1" x14ac:dyDescent="0.25">
      <c r="C717" s="23"/>
      <c r="D717" s="10"/>
      <c r="H717" s="24"/>
      <c r="I717" s="24"/>
      <c r="J717" s="13"/>
    </row>
    <row r="718" spans="3:10" ht="14.25" customHeight="1" x14ac:dyDescent="0.25">
      <c r="C718" s="23"/>
      <c r="D718" s="10"/>
      <c r="H718" s="24"/>
      <c r="I718" s="24"/>
      <c r="J718" s="13"/>
    </row>
    <row r="719" spans="3:10" ht="14.25" customHeight="1" x14ac:dyDescent="0.25">
      <c r="C719" s="23"/>
      <c r="D719" s="10"/>
      <c r="H719" s="24"/>
      <c r="I719" s="24"/>
      <c r="J719" s="13"/>
    </row>
    <row r="720" spans="3:10" ht="14.25" customHeight="1" x14ac:dyDescent="0.25">
      <c r="C720" s="23"/>
      <c r="D720" s="10"/>
      <c r="H720" s="24"/>
      <c r="I720" s="24"/>
      <c r="J720" s="13"/>
    </row>
    <row r="721" spans="3:10" ht="14.25" customHeight="1" x14ac:dyDescent="0.25">
      <c r="C721" s="23"/>
      <c r="D721" s="10"/>
      <c r="H721" s="24"/>
      <c r="I721" s="24"/>
      <c r="J721" s="13"/>
    </row>
    <row r="722" spans="3:10" ht="14.25" customHeight="1" x14ac:dyDescent="0.25">
      <c r="C722" s="23"/>
      <c r="D722" s="10"/>
      <c r="H722" s="24"/>
      <c r="I722" s="24"/>
      <c r="J722" s="13"/>
    </row>
    <row r="723" spans="3:10" ht="14.25" customHeight="1" x14ac:dyDescent="0.25">
      <c r="C723" s="23"/>
      <c r="D723" s="10"/>
      <c r="H723" s="24"/>
      <c r="I723" s="24"/>
      <c r="J723" s="13"/>
    </row>
    <row r="724" spans="3:10" ht="14.25" customHeight="1" x14ac:dyDescent="0.25">
      <c r="C724" s="23"/>
      <c r="D724" s="10"/>
      <c r="H724" s="24"/>
      <c r="I724" s="24"/>
      <c r="J724" s="13"/>
    </row>
    <row r="725" spans="3:10" ht="14.25" customHeight="1" x14ac:dyDescent="0.25">
      <c r="C725" s="23"/>
      <c r="D725" s="10"/>
      <c r="H725" s="24"/>
      <c r="I725" s="24"/>
      <c r="J725" s="13"/>
    </row>
    <row r="726" spans="3:10" ht="14.25" customHeight="1" x14ac:dyDescent="0.25">
      <c r="C726" s="23"/>
      <c r="D726" s="10"/>
      <c r="H726" s="24"/>
      <c r="I726" s="24"/>
      <c r="J726" s="13"/>
    </row>
    <row r="727" spans="3:10" ht="14.25" customHeight="1" x14ac:dyDescent="0.25">
      <c r="C727" s="23"/>
      <c r="D727" s="10"/>
      <c r="H727" s="24"/>
      <c r="I727" s="24"/>
      <c r="J727" s="13"/>
    </row>
    <row r="728" spans="3:10" ht="14.25" customHeight="1" x14ac:dyDescent="0.25">
      <c r="C728" s="23"/>
      <c r="D728" s="10"/>
      <c r="H728" s="24"/>
      <c r="I728" s="24"/>
      <c r="J728" s="13"/>
    </row>
    <row r="729" spans="3:10" ht="14.25" customHeight="1" x14ac:dyDescent="0.25">
      <c r="C729" s="23"/>
      <c r="D729" s="10"/>
      <c r="H729" s="24"/>
      <c r="I729" s="24"/>
      <c r="J729" s="13"/>
    </row>
    <row r="730" spans="3:10" ht="14.25" customHeight="1" x14ac:dyDescent="0.25">
      <c r="C730" s="23"/>
      <c r="D730" s="10"/>
      <c r="H730" s="24"/>
      <c r="I730" s="24"/>
      <c r="J730" s="13"/>
    </row>
    <row r="731" spans="3:10" ht="14.25" customHeight="1" x14ac:dyDescent="0.25">
      <c r="C731" s="23"/>
      <c r="D731" s="10"/>
      <c r="H731" s="24"/>
      <c r="I731" s="24"/>
      <c r="J731" s="13"/>
    </row>
    <row r="732" spans="3:10" ht="14.25" customHeight="1" x14ac:dyDescent="0.25">
      <c r="C732" s="23"/>
      <c r="D732" s="10"/>
      <c r="H732" s="24"/>
      <c r="I732" s="24"/>
      <c r="J732" s="13"/>
    </row>
    <row r="733" spans="3:10" ht="14.25" customHeight="1" x14ac:dyDescent="0.25">
      <c r="C733" s="23"/>
      <c r="D733" s="10"/>
      <c r="H733" s="24"/>
      <c r="I733" s="24"/>
      <c r="J733" s="13"/>
    </row>
    <row r="734" spans="3:10" ht="14.25" customHeight="1" x14ac:dyDescent="0.25">
      <c r="C734" s="23"/>
      <c r="D734" s="10"/>
      <c r="H734" s="24"/>
      <c r="I734" s="24"/>
      <c r="J734" s="13"/>
    </row>
    <row r="735" spans="3:10" ht="14.25" customHeight="1" x14ac:dyDescent="0.25">
      <c r="C735" s="23"/>
      <c r="D735" s="10"/>
      <c r="H735" s="24"/>
      <c r="I735" s="24"/>
      <c r="J735" s="13"/>
    </row>
    <row r="736" spans="3:10" ht="14.25" customHeight="1" x14ac:dyDescent="0.25">
      <c r="C736" s="23"/>
      <c r="D736" s="10"/>
      <c r="H736" s="24"/>
      <c r="I736" s="24"/>
      <c r="J736" s="13"/>
    </row>
    <row r="737" spans="3:10" ht="14.25" customHeight="1" x14ac:dyDescent="0.25">
      <c r="C737" s="23"/>
      <c r="D737" s="10"/>
      <c r="H737" s="24"/>
      <c r="I737" s="24"/>
      <c r="J737" s="13"/>
    </row>
    <row r="738" spans="3:10" ht="14.25" customHeight="1" x14ac:dyDescent="0.25">
      <c r="C738" s="23"/>
      <c r="D738" s="10"/>
      <c r="H738" s="24"/>
      <c r="I738" s="24"/>
      <c r="J738" s="13"/>
    </row>
    <row r="739" spans="3:10" ht="14.25" customHeight="1" x14ac:dyDescent="0.25">
      <c r="C739" s="23"/>
      <c r="D739" s="10"/>
      <c r="H739" s="24"/>
      <c r="I739" s="24"/>
      <c r="J739" s="13"/>
    </row>
    <row r="740" spans="3:10" ht="14.25" customHeight="1" x14ac:dyDescent="0.25">
      <c r="C740" s="23"/>
      <c r="D740" s="10"/>
      <c r="H740" s="24"/>
      <c r="I740" s="24"/>
      <c r="J740" s="13"/>
    </row>
    <row r="741" spans="3:10" ht="14.25" customHeight="1" x14ac:dyDescent="0.25">
      <c r="C741" s="23"/>
      <c r="D741" s="10"/>
      <c r="H741" s="24"/>
      <c r="I741" s="24"/>
      <c r="J741" s="13"/>
    </row>
    <row r="742" spans="3:10" ht="14.25" customHeight="1" x14ac:dyDescent="0.25">
      <c r="C742" s="23"/>
      <c r="D742" s="10"/>
      <c r="H742" s="24"/>
      <c r="I742" s="24"/>
      <c r="J742" s="13"/>
    </row>
    <row r="743" spans="3:10" ht="14.25" customHeight="1" x14ac:dyDescent="0.25">
      <c r="C743" s="23"/>
      <c r="D743" s="10"/>
      <c r="H743" s="24"/>
      <c r="I743" s="24"/>
      <c r="J743" s="13"/>
    </row>
    <row r="744" spans="3:10" ht="14.25" customHeight="1" x14ac:dyDescent="0.25">
      <c r="C744" s="23"/>
      <c r="D744" s="10"/>
      <c r="H744" s="24"/>
      <c r="I744" s="24"/>
      <c r="J744" s="13"/>
    </row>
    <row r="745" spans="3:10" ht="14.25" customHeight="1" x14ac:dyDescent="0.25">
      <c r="C745" s="23"/>
      <c r="D745" s="10"/>
      <c r="H745" s="24"/>
      <c r="I745" s="24"/>
      <c r="J745" s="13"/>
    </row>
    <row r="746" spans="3:10" ht="14.25" customHeight="1" x14ac:dyDescent="0.25">
      <c r="C746" s="23"/>
      <c r="D746" s="10"/>
      <c r="H746" s="24"/>
      <c r="I746" s="24"/>
      <c r="J746" s="13"/>
    </row>
    <row r="747" spans="3:10" ht="14.25" customHeight="1" x14ac:dyDescent="0.25">
      <c r="C747" s="23"/>
      <c r="D747" s="10"/>
      <c r="H747" s="24"/>
      <c r="I747" s="24"/>
      <c r="J747" s="13"/>
    </row>
    <row r="748" spans="3:10" ht="14.25" customHeight="1" x14ac:dyDescent="0.25">
      <c r="C748" s="23"/>
      <c r="D748" s="10"/>
      <c r="H748" s="24"/>
      <c r="I748" s="24"/>
      <c r="J748" s="13"/>
    </row>
    <row r="749" spans="3:10" ht="14.25" customHeight="1" x14ac:dyDescent="0.25">
      <c r="C749" s="23"/>
      <c r="D749" s="10"/>
      <c r="H749" s="24"/>
      <c r="I749" s="24"/>
      <c r="J749" s="13"/>
    </row>
    <row r="750" spans="3:10" ht="14.25" customHeight="1" x14ac:dyDescent="0.25">
      <c r="C750" s="23"/>
      <c r="D750" s="10"/>
      <c r="H750" s="24"/>
      <c r="I750" s="24"/>
      <c r="J750" s="13"/>
    </row>
    <row r="751" spans="3:10" ht="14.25" customHeight="1" x14ac:dyDescent="0.25">
      <c r="C751" s="23"/>
      <c r="D751" s="10"/>
      <c r="H751" s="24"/>
      <c r="I751" s="24"/>
      <c r="J751" s="13"/>
    </row>
    <row r="752" spans="3:10" ht="14.25" customHeight="1" x14ac:dyDescent="0.25">
      <c r="C752" s="23"/>
      <c r="D752" s="10"/>
      <c r="H752" s="24"/>
      <c r="I752" s="24"/>
      <c r="J752" s="13"/>
    </row>
    <row r="753" spans="3:10" ht="14.25" customHeight="1" x14ac:dyDescent="0.25">
      <c r="C753" s="23"/>
      <c r="D753" s="10"/>
      <c r="H753" s="24"/>
      <c r="I753" s="24"/>
      <c r="J753" s="13"/>
    </row>
    <row r="754" spans="3:10" ht="14.25" customHeight="1" x14ac:dyDescent="0.25">
      <c r="C754" s="23"/>
      <c r="D754" s="10"/>
      <c r="H754" s="24"/>
      <c r="I754" s="24"/>
      <c r="J754" s="13"/>
    </row>
    <row r="755" spans="3:10" ht="14.25" customHeight="1" x14ac:dyDescent="0.25">
      <c r="C755" s="23"/>
      <c r="D755" s="10"/>
      <c r="H755" s="24"/>
      <c r="I755" s="24"/>
      <c r="J755" s="13"/>
    </row>
    <row r="756" spans="3:10" ht="14.25" customHeight="1" x14ac:dyDescent="0.25">
      <c r="C756" s="23"/>
      <c r="D756" s="10"/>
      <c r="H756" s="24"/>
      <c r="I756" s="24"/>
      <c r="J756" s="13"/>
    </row>
    <row r="757" spans="3:10" ht="14.25" customHeight="1" x14ac:dyDescent="0.25">
      <c r="C757" s="23"/>
      <c r="D757" s="10"/>
      <c r="H757" s="24"/>
      <c r="I757" s="24"/>
      <c r="J757" s="13"/>
    </row>
    <row r="758" spans="3:10" ht="14.25" customHeight="1" x14ac:dyDescent="0.25">
      <c r="C758" s="23"/>
      <c r="D758" s="10"/>
      <c r="H758" s="24"/>
      <c r="I758" s="24"/>
      <c r="J758" s="13"/>
    </row>
    <row r="759" spans="3:10" ht="14.25" customHeight="1" x14ac:dyDescent="0.25">
      <c r="C759" s="23"/>
      <c r="D759" s="10"/>
      <c r="H759" s="24"/>
      <c r="I759" s="24"/>
      <c r="J759" s="13"/>
    </row>
    <row r="760" spans="3:10" ht="14.25" customHeight="1" x14ac:dyDescent="0.25">
      <c r="C760" s="23"/>
      <c r="D760" s="10"/>
      <c r="H760" s="24"/>
      <c r="I760" s="24"/>
      <c r="J760" s="13"/>
    </row>
    <row r="761" spans="3:10" ht="14.25" customHeight="1" x14ac:dyDescent="0.25">
      <c r="C761" s="23"/>
      <c r="D761" s="10"/>
      <c r="H761" s="24"/>
      <c r="I761" s="24"/>
      <c r="J761" s="13"/>
    </row>
    <row r="762" spans="3:10" ht="14.25" customHeight="1" x14ac:dyDescent="0.25">
      <c r="C762" s="23"/>
      <c r="D762" s="10"/>
      <c r="H762" s="24"/>
      <c r="I762" s="24"/>
      <c r="J762" s="13"/>
    </row>
    <row r="763" spans="3:10" ht="14.25" customHeight="1" x14ac:dyDescent="0.25">
      <c r="C763" s="23"/>
      <c r="D763" s="10"/>
      <c r="H763" s="24"/>
      <c r="I763" s="24"/>
      <c r="J763" s="13"/>
    </row>
    <row r="764" spans="3:10" ht="14.25" customHeight="1" x14ac:dyDescent="0.25">
      <c r="C764" s="23"/>
      <c r="D764" s="10"/>
      <c r="H764" s="24"/>
      <c r="I764" s="24"/>
      <c r="J764" s="13"/>
    </row>
    <row r="765" spans="3:10" ht="14.25" customHeight="1" x14ac:dyDescent="0.25">
      <c r="C765" s="23"/>
      <c r="D765" s="10"/>
      <c r="H765" s="24"/>
      <c r="I765" s="24"/>
      <c r="J765" s="13"/>
    </row>
    <row r="766" spans="3:10" ht="14.25" customHeight="1" x14ac:dyDescent="0.25">
      <c r="C766" s="23"/>
      <c r="D766" s="10"/>
      <c r="H766" s="24"/>
      <c r="I766" s="24"/>
      <c r="J766" s="13"/>
    </row>
    <row r="767" spans="3:10" ht="14.25" customHeight="1" x14ac:dyDescent="0.25">
      <c r="C767" s="23"/>
      <c r="D767" s="10"/>
      <c r="H767" s="24"/>
      <c r="I767" s="24"/>
      <c r="J767" s="13"/>
    </row>
    <row r="768" spans="3:10" ht="14.25" customHeight="1" x14ac:dyDescent="0.25">
      <c r="C768" s="23"/>
      <c r="D768" s="10"/>
      <c r="H768" s="24"/>
      <c r="I768" s="24"/>
      <c r="J768" s="13"/>
    </row>
    <row r="769" spans="3:10" ht="14.25" customHeight="1" x14ac:dyDescent="0.25">
      <c r="C769" s="23"/>
      <c r="D769" s="10"/>
      <c r="H769" s="24"/>
      <c r="I769" s="24"/>
      <c r="J769" s="13"/>
    </row>
    <row r="770" spans="3:10" ht="14.25" customHeight="1" x14ac:dyDescent="0.25">
      <c r="C770" s="23"/>
      <c r="D770" s="10"/>
      <c r="H770" s="24"/>
      <c r="I770" s="24"/>
      <c r="J770" s="13"/>
    </row>
    <row r="771" spans="3:10" ht="14.25" customHeight="1" x14ac:dyDescent="0.25">
      <c r="C771" s="23"/>
      <c r="D771" s="10"/>
      <c r="H771" s="24"/>
      <c r="I771" s="24"/>
      <c r="J771" s="13"/>
    </row>
    <row r="772" spans="3:10" ht="14.25" customHeight="1" x14ac:dyDescent="0.25">
      <c r="C772" s="23"/>
      <c r="D772" s="10"/>
      <c r="H772" s="24"/>
      <c r="I772" s="24"/>
      <c r="J772" s="13"/>
    </row>
    <row r="773" spans="3:10" ht="14.25" customHeight="1" x14ac:dyDescent="0.25">
      <c r="C773" s="23"/>
      <c r="D773" s="10"/>
      <c r="H773" s="24"/>
      <c r="I773" s="24"/>
      <c r="J773" s="13"/>
    </row>
    <row r="774" spans="3:10" ht="14.25" customHeight="1" x14ac:dyDescent="0.25">
      <c r="C774" s="23"/>
      <c r="D774" s="10"/>
      <c r="H774" s="24"/>
      <c r="I774" s="24"/>
      <c r="J774" s="13"/>
    </row>
    <row r="775" spans="3:10" ht="14.25" customHeight="1" x14ac:dyDescent="0.25">
      <c r="C775" s="23"/>
      <c r="D775" s="10"/>
      <c r="H775" s="24"/>
      <c r="I775" s="24"/>
      <c r="J775" s="13"/>
    </row>
    <row r="776" spans="3:10" ht="14.25" customHeight="1" x14ac:dyDescent="0.25">
      <c r="C776" s="23"/>
      <c r="D776" s="10"/>
      <c r="H776" s="24"/>
      <c r="I776" s="24"/>
      <c r="J776" s="13"/>
    </row>
    <row r="777" spans="3:10" ht="14.25" customHeight="1" x14ac:dyDescent="0.25">
      <c r="C777" s="23"/>
      <c r="D777" s="10"/>
      <c r="H777" s="24"/>
      <c r="I777" s="24"/>
      <c r="J777" s="13"/>
    </row>
    <row r="778" spans="3:10" ht="14.25" customHeight="1" x14ac:dyDescent="0.25">
      <c r="C778" s="23"/>
      <c r="D778" s="10"/>
      <c r="H778" s="24"/>
      <c r="I778" s="24"/>
      <c r="J778" s="13"/>
    </row>
    <row r="779" spans="3:10" ht="14.25" customHeight="1" x14ac:dyDescent="0.25">
      <c r="C779" s="23"/>
      <c r="D779" s="10"/>
      <c r="H779" s="24"/>
      <c r="I779" s="24"/>
      <c r="J779" s="13"/>
    </row>
    <row r="780" spans="3:10" ht="14.25" customHeight="1" x14ac:dyDescent="0.25">
      <c r="C780" s="23"/>
      <c r="D780" s="10"/>
      <c r="H780" s="24"/>
      <c r="I780" s="24"/>
      <c r="J780" s="13"/>
    </row>
    <row r="781" spans="3:10" ht="14.25" customHeight="1" x14ac:dyDescent="0.25">
      <c r="C781" s="23"/>
      <c r="D781" s="10"/>
      <c r="H781" s="24"/>
      <c r="I781" s="24"/>
      <c r="J781" s="13"/>
    </row>
    <row r="782" spans="3:10" ht="14.25" customHeight="1" x14ac:dyDescent="0.25">
      <c r="C782" s="23"/>
      <c r="D782" s="10"/>
      <c r="H782" s="24"/>
      <c r="I782" s="24"/>
      <c r="J782" s="13"/>
    </row>
    <row r="783" spans="3:10" ht="14.25" customHeight="1" x14ac:dyDescent="0.25">
      <c r="C783" s="23"/>
      <c r="D783" s="10"/>
      <c r="H783" s="24"/>
      <c r="I783" s="24"/>
      <c r="J783" s="13"/>
    </row>
    <row r="784" spans="3:10" ht="14.25" customHeight="1" x14ac:dyDescent="0.25">
      <c r="C784" s="23"/>
      <c r="D784" s="10"/>
      <c r="H784" s="24"/>
      <c r="I784" s="24"/>
      <c r="J784" s="13"/>
    </row>
    <row r="785" spans="3:10" ht="14.25" customHeight="1" x14ac:dyDescent="0.25">
      <c r="C785" s="23"/>
      <c r="D785" s="10"/>
      <c r="H785" s="24"/>
      <c r="I785" s="24"/>
      <c r="J785" s="13"/>
    </row>
    <row r="786" spans="3:10" ht="14.25" customHeight="1" x14ac:dyDescent="0.25">
      <c r="C786" s="23"/>
      <c r="D786" s="10"/>
      <c r="H786" s="24"/>
      <c r="I786" s="24"/>
      <c r="J786" s="13"/>
    </row>
    <row r="787" spans="3:10" ht="14.25" customHeight="1" x14ac:dyDescent="0.25">
      <c r="C787" s="23"/>
      <c r="D787" s="10"/>
      <c r="H787" s="24"/>
      <c r="I787" s="24"/>
      <c r="J787" s="13"/>
    </row>
    <row r="788" spans="3:10" ht="14.25" customHeight="1" x14ac:dyDescent="0.25">
      <c r="C788" s="23"/>
      <c r="D788" s="10"/>
      <c r="H788" s="24"/>
      <c r="I788" s="24"/>
      <c r="J788" s="13"/>
    </row>
    <row r="789" spans="3:10" ht="14.25" customHeight="1" x14ac:dyDescent="0.25">
      <c r="C789" s="23"/>
      <c r="D789" s="10"/>
      <c r="H789" s="24"/>
      <c r="I789" s="24"/>
      <c r="J789" s="13"/>
    </row>
    <row r="790" spans="3:10" ht="14.25" customHeight="1" x14ac:dyDescent="0.25">
      <c r="C790" s="23"/>
      <c r="D790" s="10"/>
      <c r="H790" s="24"/>
      <c r="I790" s="24"/>
      <c r="J790" s="13"/>
    </row>
    <row r="791" spans="3:10" ht="14.25" customHeight="1" x14ac:dyDescent="0.25">
      <c r="C791" s="23"/>
      <c r="D791" s="10"/>
      <c r="H791" s="24"/>
      <c r="I791" s="24"/>
      <c r="J791" s="13"/>
    </row>
    <row r="792" spans="3:10" ht="14.25" customHeight="1" x14ac:dyDescent="0.25">
      <c r="C792" s="23"/>
      <c r="D792" s="10"/>
      <c r="H792" s="24"/>
      <c r="I792" s="24"/>
      <c r="J792" s="13"/>
    </row>
    <row r="793" spans="3:10" ht="14.25" customHeight="1" x14ac:dyDescent="0.25">
      <c r="C793" s="23"/>
      <c r="D793" s="10"/>
      <c r="H793" s="24"/>
      <c r="I793" s="24"/>
      <c r="J793" s="13"/>
    </row>
    <row r="794" spans="3:10" ht="14.25" customHeight="1" x14ac:dyDescent="0.25">
      <c r="C794" s="23"/>
      <c r="D794" s="10"/>
      <c r="H794" s="24"/>
      <c r="I794" s="24"/>
      <c r="J794" s="13"/>
    </row>
    <row r="795" spans="3:10" ht="14.25" customHeight="1" x14ac:dyDescent="0.25">
      <c r="C795" s="23"/>
      <c r="D795" s="10"/>
      <c r="H795" s="24"/>
      <c r="I795" s="24"/>
      <c r="J795" s="13"/>
    </row>
    <row r="796" spans="3:10" ht="14.25" customHeight="1" x14ac:dyDescent="0.25">
      <c r="C796" s="23"/>
      <c r="D796" s="10"/>
      <c r="H796" s="24"/>
      <c r="I796" s="24"/>
      <c r="J796" s="13"/>
    </row>
    <row r="797" spans="3:10" ht="14.25" customHeight="1" x14ac:dyDescent="0.25">
      <c r="C797" s="23"/>
      <c r="D797" s="10"/>
      <c r="H797" s="24"/>
      <c r="I797" s="24"/>
      <c r="J797" s="13"/>
    </row>
    <row r="798" spans="3:10" ht="14.25" customHeight="1" x14ac:dyDescent="0.25">
      <c r="C798" s="23"/>
      <c r="D798" s="10"/>
      <c r="H798" s="24"/>
      <c r="I798" s="24"/>
      <c r="J798" s="13"/>
    </row>
    <row r="799" spans="3:10" ht="14.25" customHeight="1" x14ac:dyDescent="0.25">
      <c r="C799" s="23"/>
      <c r="D799" s="10"/>
      <c r="H799" s="24"/>
      <c r="I799" s="24"/>
      <c r="J799" s="13"/>
    </row>
    <row r="800" spans="3:10" ht="14.25" customHeight="1" x14ac:dyDescent="0.25">
      <c r="C800" s="23"/>
      <c r="D800" s="10"/>
      <c r="H800" s="24"/>
      <c r="I800" s="24"/>
      <c r="J800" s="13"/>
    </row>
    <row r="801" spans="3:10" ht="14.25" customHeight="1" x14ac:dyDescent="0.25">
      <c r="C801" s="23"/>
      <c r="D801" s="10"/>
      <c r="H801" s="24"/>
      <c r="I801" s="24"/>
      <c r="J801" s="13"/>
    </row>
    <row r="802" spans="3:10" ht="14.25" customHeight="1" x14ac:dyDescent="0.25">
      <c r="C802" s="23"/>
      <c r="D802" s="10"/>
      <c r="H802" s="24"/>
      <c r="I802" s="24"/>
      <c r="J802" s="13"/>
    </row>
    <row r="803" spans="3:10" ht="14.25" customHeight="1" x14ac:dyDescent="0.25">
      <c r="C803" s="23"/>
      <c r="D803" s="10"/>
      <c r="H803" s="24"/>
      <c r="I803" s="24"/>
      <c r="J803" s="13"/>
    </row>
    <row r="804" spans="3:10" ht="14.25" customHeight="1" x14ac:dyDescent="0.25">
      <c r="C804" s="23"/>
      <c r="D804" s="10"/>
      <c r="H804" s="24"/>
      <c r="I804" s="24"/>
      <c r="J804" s="13"/>
    </row>
    <row r="805" spans="3:10" ht="14.25" customHeight="1" x14ac:dyDescent="0.25">
      <c r="C805" s="23"/>
      <c r="D805" s="10"/>
      <c r="H805" s="24"/>
      <c r="I805" s="24"/>
      <c r="J805" s="13"/>
    </row>
    <row r="806" spans="3:10" ht="14.25" customHeight="1" x14ac:dyDescent="0.25">
      <c r="C806" s="23"/>
      <c r="D806" s="10"/>
      <c r="H806" s="24"/>
      <c r="I806" s="24"/>
      <c r="J806" s="13"/>
    </row>
    <row r="807" spans="3:10" ht="14.25" customHeight="1" x14ac:dyDescent="0.25">
      <c r="C807" s="23"/>
      <c r="D807" s="10"/>
      <c r="H807" s="24"/>
      <c r="I807" s="24"/>
      <c r="J807" s="13"/>
    </row>
    <row r="808" spans="3:10" ht="14.25" customHeight="1" x14ac:dyDescent="0.25">
      <c r="C808" s="23"/>
      <c r="D808" s="10"/>
      <c r="H808" s="24"/>
      <c r="I808" s="24"/>
      <c r="J808" s="13"/>
    </row>
    <row r="809" spans="3:10" ht="14.25" customHeight="1" x14ac:dyDescent="0.25">
      <c r="C809" s="23"/>
      <c r="D809" s="10"/>
      <c r="H809" s="24"/>
      <c r="I809" s="24"/>
      <c r="J809" s="13"/>
    </row>
    <row r="810" spans="3:10" ht="14.25" customHeight="1" x14ac:dyDescent="0.25">
      <c r="C810" s="23"/>
      <c r="D810" s="10"/>
      <c r="H810" s="24"/>
      <c r="I810" s="24"/>
      <c r="J810" s="13"/>
    </row>
    <row r="811" spans="3:10" ht="14.25" customHeight="1" x14ac:dyDescent="0.25">
      <c r="C811" s="23"/>
      <c r="D811" s="10"/>
      <c r="H811" s="24"/>
      <c r="I811" s="24"/>
      <c r="J811" s="13"/>
    </row>
    <row r="812" spans="3:10" ht="14.25" customHeight="1" x14ac:dyDescent="0.25">
      <c r="C812" s="23"/>
      <c r="D812" s="10"/>
      <c r="H812" s="24"/>
      <c r="I812" s="24"/>
      <c r="J812" s="13"/>
    </row>
    <row r="813" spans="3:10" ht="14.25" customHeight="1" x14ac:dyDescent="0.25">
      <c r="C813" s="23"/>
      <c r="D813" s="10"/>
      <c r="H813" s="24"/>
      <c r="I813" s="24"/>
      <c r="J813" s="13"/>
    </row>
    <row r="814" spans="3:10" ht="14.25" customHeight="1" x14ac:dyDescent="0.25">
      <c r="C814" s="23"/>
      <c r="D814" s="10"/>
      <c r="H814" s="24"/>
      <c r="I814" s="24"/>
      <c r="J814" s="13"/>
    </row>
    <row r="815" spans="3:10" ht="14.25" customHeight="1" x14ac:dyDescent="0.25">
      <c r="C815" s="23"/>
      <c r="D815" s="10"/>
      <c r="H815" s="24"/>
      <c r="I815" s="24"/>
      <c r="J815" s="13"/>
    </row>
    <row r="816" spans="3:10" ht="14.25" customHeight="1" x14ac:dyDescent="0.25">
      <c r="C816" s="23"/>
      <c r="D816" s="10"/>
      <c r="H816" s="24"/>
      <c r="I816" s="24"/>
      <c r="J816" s="13"/>
    </row>
    <row r="817" spans="3:10" ht="14.25" customHeight="1" x14ac:dyDescent="0.25">
      <c r="C817" s="23"/>
      <c r="D817" s="10"/>
      <c r="H817" s="24"/>
      <c r="I817" s="24"/>
      <c r="J817" s="13"/>
    </row>
    <row r="818" spans="3:10" ht="14.25" customHeight="1" x14ac:dyDescent="0.25">
      <c r="C818" s="23"/>
      <c r="D818" s="10"/>
      <c r="H818" s="24"/>
      <c r="I818" s="24"/>
      <c r="J818" s="13"/>
    </row>
    <row r="819" spans="3:10" ht="14.25" customHeight="1" x14ac:dyDescent="0.25">
      <c r="C819" s="23"/>
      <c r="D819" s="10"/>
      <c r="H819" s="24"/>
      <c r="I819" s="24"/>
      <c r="J819" s="13"/>
    </row>
    <row r="820" spans="3:10" ht="14.25" customHeight="1" x14ac:dyDescent="0.25">
      <c r="C820" s="23"/>
      <c r="D820" s="10"/>
      <c r="H820" s="24"/>
      <c r="I820" s="24"/>
      <c r="J820" s="13"/>
    </row>
    <row r="821" spans="3:10" ht="14.25" customHeight="1" x14ac:dyDescent="0.25">
      <c r="C821" s="23"/>
      <c r="D821" s="10"/>
      <c r="H821" s="24"/>
      <c r="I821" s="24"/>
      <c r="J821" s="13"/>
    </row>
    <row r="822" spans="3:10" ht="14.25" customHeight="1" x14ac:dyDescent="0.25">
      <c r="C822" s="23"/>
      <c r="D822" s="10"/>
      <c r="H822" s="24"/>
      <c r="I822" s="24"/>
      <c r="J822" s="13"/>
    </row>
    <row r="823" spans="3:10" ht="14.25" customHeight="1" x14ac:dyDescent="0.25">
      <c r="C823" s="23"/>
      <c r="D823" s="10"/>
      <c r="H823" s="24"/>
      <c r="I823" s="24"/>
      <c r="J823" s="13"/>
    </row>
    <row r="824" spans="3:10" ht="14.25" customHeight="1" x14ac:dyDescent="0.25">
      <c r="C824" s="23"/>
      <c r="D824" s="10"/>
      <c r="H824" s="24"/>
      <c r="I824" s="24"/>
      <c r="J824" s="13"/>
    </row>
    <row r="825" spans="3:10" ht="14.25" customHeight="1" x14ac:dyDescent="0.25">
      <c r="C825" s="23"/>
      <c r="D825" s="10"/>
      <c r="H825" s="24"/>
      <c r="I825" s="24"/>
      <c r="J825" s="13"/>
    </row>
    <row r="826" spans="3:10" ht="14.25" customHeight="1" x14ac:dyDescent="0.25">
      <c r="C826" s="23"/>
      <c r="D826" s="10"/>
      <c r="H826" s="24"/>
      <c r="I826" s="24"/>
      <c r="J826" s="13"/>
    </row>
    <row r="827" spans="3:10" ht="14.25" customHeight="1" x14ac:dyDescent="0.25">
      <c r="C827" s="23"/>
      <c r="D827" s="10"/>
      <c r="H827" s="24"/>
      <c r="I827" s="24"/>
      <c r="J827" s="13"/>
    </row>
    <row r="828" spans="3:10" ht="14.25" customHeight="1" x14ac:dyDescent="0.25">
      <c r="C828" s="23"/>
      <c r="D828" s="10"/>
      <c r="H828" s="24"/>
      <c r="I828" s="24"/>
      <c r="J828" s="13"/>
    </row>
    <row r="829" spans="3:10" ht="14.25" customHeight="1" x14ac:dyDescent="0.25">
      <c r="C829" s="23"/>
      <c r="D829" s="10"/>
      <c r="H829" s="24"/>
      <c r="I829" s="24"/>
      <c r="J829" s="13"/>
    </row>
    <row r="830" spans="3:10" ht="14.25" customHeight="1" x14ac:dyDescent="0.25">
      <c r="C830" s="23"/>
      <c r="D830" s="10"/>
      <c r="H830" s="24"/>
      <c r="I830" s="24"/>
      <c r="J830" s="13"/>
    </row>
    <row r="831" spans="3:10" ht="14.25" customHeight="1" x14ac:dyDescent="0.25">
      <c r="C831" s="23"/>
      <c r="D831" s="10"/>
      <c r="H831" s="24"/>
      <c r="I831" s="24"/>
      <c r="J831" s="13"/>
    </row>
    <row r="832" spans="3:10" ht="14.25" customHeight="1" x14ac:dyDescent="0.25">
      <c r="C832" s="23"/>
      <c r="D832" s="10"/>
      <c r="H832" s="24"/>
      <c r="I832" s="24"/>
      <c r="J832" s="13"/>
    </row>
    <row r="833" spans="3:10" ht="14.25" customHeight="1" x14ac:dyDescent="0.25">
      <c r="C833" s="23"/>
      <c r="D833" s="10"/>
      <c r="H833" s="24"/>
      <c r="I833" s="24"/>
      <c r="J833" s="13"/>
    </row>
    <row r="834" spans="3:10" ht="14.25" customHeight="1" x14ac:dyDescent="0.25">
      <c r="C834" s="23"/>
      <c r="D834" s="10"/>
      <c r="H834" s="24"/>
      <c r="I834" s="24"/>
      <c r="J834" s="13"/>
    </row>
    <row r="835" spans="3:10" ht="14.25" customHeight="1" x14ac:dyDescent="0.25">
      <c r="C835" s="23"/>
      <c r="D835" s="10"/>
      <c r="H835" s="24"/>
      <c r="I835" s="24"/>
      <c r="J835" s="13"/>
    </row>
    <row r="836" spans="3:10" ht="14.25" customHeight="1" x14ac:dyDescent="0.25">
      <c r="C836" s="23"/>
      <c r="D836" s="10"/>
      <c r="H836" s="24"/>
      <c r="I836" s="24"/>
      <c r="J836" s="13"/>
    </row>
    <row r="837" spans="3:10" ht="14.25" customHeight="1" x14ac:dyDescent="0.25">
      <c r="C837" s="23"/>
      <c r="D837" s="10"/>
      <c r="H837" s="24"/>
      <c r="I837" s="24"/>
      <c r="J837" s="13"/>
    </row>
    <row r="838" spans="3:10" ht="14.25" customHeight="1" x14ac:dyDescent="0.25">
      <c r="C838" s="23"/>
      <c r="D838" s="10"/>
      <c r="H838" s="24"/>
      <c r="I838" s="24"/>
      <c r="J838" s="13"/>
    </row>
    <row r="839" spans="3:10" ht="14.25" customHeight="1" x14ac:dyDescent="0.25">
      <c r="C839" s="23"/>
      <c r="D839" s="10"/>
      <c r="H839" s="24"/>
      <c r="I839" s="24"/>
      <c r="J839" s="13"/>
    </row>
    <row r="840" spans="3:10" ht="14.25" customHeight="1" x14ac:dyDescent="0.25">
      <c r="C840" s="23"/>
      <c r="D840" s="10"/>
      <c r="H840" s="24"/>
      <c r="I840" s="24"/>
      <c r="J840" s="13"/>
    </row>
    <row r="841" spans="3:10" ht="14.25" customHeight="1" x14ac:dyDescent="0.25">
      <c r="C841" s="23"/>
      <c r="D841" s="10"/>
      <c r="H841" s="24"/>
      <c r="I841" s="24"/>
      <c r="J841" s="13"/>
    </row>
    <row r="842" spans="3:10" ht="14.25" customHeight="1" x14ac:dyDescent="0.25">
      <c r="C842" s="23"/>
      <c r="D842" s="10"/>
      <c r="H842" s="24"/>
      <c r="I842" s="24"/>
      <c r="J842" s="13"/>
    </row>
    <row r="843" spans="3:10" ht="14.25" customHeight="1" x14ac:dyDescent="0.25">
      <c r="C843" s="23"/>
      <c r="D843" s="10"/>
      <c r="H843" s="24"/>
      <c r="I843" s="24"/>
      <c r="J843" s="13"/>
    </row>
    <row r="844" spans="3:10" ht="14.25" customHeight="1" x14ac:dyDescent="0.25">
      <c r="C844" s="23"/>
      <c r="D844" s="10"/>
      <c r="H844" s="24"/>
      <c r="I844" s="24"/>
      <c r="J844" s="13"/>
    </row>
    <row r="845" spans="3:10" ht="14.25" customHeight="1" x14ac:dyDescent="0.25">
      <c r="C845" s="23"/>
      <c r="D845" s="10"/>
      <c r="H845" s="24"/>
      <c r="I845" s="24"/>
      <c r="J845" s="13"/>
    </row>
    <row r="846" spans="3:10" ht="14.25" customHeight="1" x14ac:dyDescent="0.25">
      <c r="C846" s="23"/>
      <c r="D846" s="10"/>
      <c r="H846" s="24"/>
      <c r="I846" s="24"/>
      <c r="J846" s="13"/>
    </row>
    <row r="847" spans="3:10" ht="14.25" customHeight="1" x14ac:dyDescent="0.25">
      <c r="C847" s="23"/>
      <c r="D847" s="10"/>
      <c r="H847" s="24"/>
      <c r="I847" s="24"/>
      <c r="J847" s="13"/>
    </row>
    <row r="848" spans="3:10" ht="14.25" customHeight="1" x14ac:dyDescent="0.25">
      <c r="C848" s="23"/>
      <c r="D848" s="10"/>
      <c r="H848" s="24"/>
      <c r="I848" s="24"/>
      <c r="J848" s="13"/>
    </row>
    <row r="849" spans="3:10" ht="14.25" customHeight="1" x14ac:dyDescent="0.25">
      <c r="C849" s="23"/>
      <c r="D849" s="10"/>
      <c r="H849" s="24"/>
      <c r="I849" s="24"/>
      <c r="J849" s="13"/>
    </row>
    <row r="850" spans="3:10" ht="14.25" customHeight="1" x14ac:dyDescent="0.25">
      <c r="C850" s="23"/>
      <c r="D850" s="10"/>
      <c r="H850" s="24"/>
      <c r="I850" s="24"/>
      <c r="J850" s="13"/>
    </row>
    <row r="851" spans="3:10" ht="14.25" customHeight="1" x14ac:dyDescent="0.25">
      <c r="C851" s="23"/>
      <c r="D851" s="10"/>
      <c r="H851" s="24"/>
      <c r="I851" s="24"/>
      <c r="J851" s="13"/>
    </row>
    <row r="852" spans="3:10" ht="14.25" customHeight="1" x14ac:dyDescent="0.25">
      <c r="C852" s="23"/>
      <c r="D852" s="10"/>
      <c r="H852" s="24"/>
      <c r="I852" s="24"/>
      <c r="J852" s="13"/>
    </row>
    <row r="853" spans="3:10" ht="14.25" customHeight="1" x14ac:dyDescent="0.25">
      <c r="C853" s="23"/>
      <c r="D853" s="10"/>
      <c r="H853" s="24"/>
      <c r="I853" s="24"/>
      <c r="J853" s="13"/>
    </row>
    <row r="854" spans="3:10" ht="14.25" customHeight="1" x14ac:dyDescent="0.25">
      <c r="C854" s="23"/>
      <c r="D854" s="10"/>
      <c r="H854" s="24"/>
      <c r="I854" s="24"/>
      <c r="J854" s="13"/>
    </row>
    <row r="855" spans="3:10" ht="14.25" customHeight="1" x14ac:dyDescent="0.25">
      <c r="C855" s="23"/>
      <c r="D855" s="10"/>
      <c r="H855" s="24"/>
      <c r="I855" s="24"/>
      <c r="J855" s="13"/>
    </row>
    <row r="856" spans="3:10" ht="14.25" customHeight="1" x14ac:dyDescent="0.25">
      <c r="C856" s="23"/>
      <c r="D856" s="10"/>
      <c r="H856" s="24"/>
      <c r="I856" s="24"/>
      <c r="J856" s="13"/>
    </row>
    <row r="857" spans="3:10" ht="14.25" customHeight="1" x14ac:dyDescent="0.25">
      <c r="C857" s="23"/>
      <c r="D857" s="10"/>
      <c r="H857" s="24"/>
      <c r="I857" s="24"/>
      <c r="J857" s="13"/>
    </row>
    <row r="858" spans="3:10" ht="14.25" customHeight="1" x14ac:dyDescent="0.25">
      <c r="C858" s="23"/>
      <c r="D858" s="10"/>
      <c r="H858" s="24"/>
      <c r="I858" s="24"/>
      <c r="J858" s="13"/>
    </row>
    <row r="859" spans="3:10" ht="14.25" customHeight="1" x14ac:dyDescent="0.25">
      <c r="C859" s="23"/>
      <c r="D859" s="10"/>
      <c r="H859" s="24"/>
      <c r="I859" s="24"/>
      <c r="J859" s="13"/>
    </row>
    <row r="860" spans="3:10" ht="14.25" customHeight="1" x14ac:dyDescent="0.25">
      <c r="C860" s="23"/>
      <c r="D860" s="10"/>
      <c r="H860" s="24"/>
      <c r="I860" s="24"/>
      <c r="J860" s="13"/>
    </row>
    <row r="861" spans="3:10" ht="14.25" customHeight="1" x14ac:dyDescent="0.25">
      <c r="C861" s="23"/>
      <c r="D861" s="10"/>
      <c r="H861" s="24"/>
      <c r="I861" s="24"/>
      <c r="J861" s="13"/>
    </row>
    <row r="862" spans="3:10" ht="14.25" customHeight="1" x14ac:dyDescent="0.25">
      <c r="C862" s="23"/>
      <c r="D862" s="10"/>
      <c r="H862" s="24"/>
      <c r="I862" s="24"/>
      <c r="J862" s="13"/>
    </row>
    <row r="863" spans="3:10" ht="14.25" customHeight="1" x14ac:dyDescent="0.25">
      <c r="C863" s="23"/>
      <c r="D863" s="10"/>
      <c r="H863" s="24"/>
      <c r="I863" s="24"/>
      <c r="J863" s="13"/>
    </row>
    <row r="864" spans="3:10" ht="14.25" customHeight="1" x14ac:dyDescent="0.25">
      <c r="C864" s="23"/>
      <c r="D864" s="10"/>
      <c r="H864" s="24"/>
      <c r="I864" s="24"/>
      <c r="J864" s="13"/>
    </row>
    <row r="865" spans="3:10" ht="14.25" customHeight="1" x14ac:dyDescent="0.25">
      <c r="C865" s="23"/>
      <c r="D865" s="10"/>
      <c r="H865" s="24"/>
      <c r="I865" s="24"/>
      <c r="J865" s="13"/>
    </row>
    <row r="866" spans="3:10" ht="14.25" customHeight="1" x14ac:dyDescent="0.25">
      <c r="C866" s="23"/>
      <c r="D866" s="10"/>
      <c r="H866" s="24"/>
      <c r="I866" s="24"/>
      <c r="J866" s="13"/>
    </row>
    <row r="867" spans="3:10" ht="14.25" customHeight="1" x14ac:dyDescent="0.25">
      <c r="C867" s="23"/>
      <c r="D867" s="10"/>
      <c r="H867" s="24"/>
      <c r="I867" s="24"/>
      <c r="J867" s="13"/>
    </row>
    <row r="868" spans="3:10" ht="14.25" customHeight="1" x14ac:dyDescent="0.25">
      <c r="C868" s="23"/>
      <c r="D868" s="10"/>
      <c r="H868" s="24"/>
      <c r="I868" s="24"/>
      <c r="J868" s="13"/>
    </row>
    <row r="869" spans="3:10" ht="14.25" customHeight="1" x14ac:dyDescent="0.25">
      <c r="C869" s="23"/>
      <c r="D869" s="10"/>
      <c r="H869" s="24"/>
      <c r="I869" s="24"/>
      <c r="J869" s="13"/>
    </row>
    <row r="870" spans="3:10" ht="14.25" customHeight="1" x14ac:dyDescent="0.25">
      <c r="C870" s="23"/>
      <c r="D870" s="10"/>
      <c r="H870" s="24"/>
      <c r="I870" s="24"/>
      <c r="J870" s="13"/>
    </row>
    <row r="871" spans="3:10" ht="14.25" customHeight="1" x14ac:dyDescent="0.25">
      <c r="C871" s="23"/>
      <c r="D871" s="10"/>
      <c r="H871" s="24"/>
      <c r="I871" s="24"/>
      <c r="J871" s="13"/>
    </row>
    <row r="872" spans="3:10" ht="14.25" customHeight="1" x14ac:dyDescent="0.25">
      <c r="C872" s="23"/>
      <c r="D872" s="10"/>
      <c r="H872" s="24"/>
      <c r="I872" s="24"/>
      <c r="J872" s="13"/>
    </row>
    <row r="873" spans="3:10" ht="14.25" customHeight="1" x14ac:dyDescent="0.25">
      <c r="C873" s="23"/>
      <c r="D873" s="10"/>
      <c r="H873" s="24"/>
      <c r="I873" s="24"/>
      <c r="J873" s="13"/>
    </row>
    <row r="874" spans="3:10" ht="14.25" customHeight="1" x14ac:dyDescent="0.25">
      <c r="C874" s="23"/>
      <c r="D874" s="10"/>
      <c r="H874" s="24"/>
      <c r="I874" s="24"/>
      <c r="J874" s="13"/>
    </row>
    <row r="875" spans="3:10" ht="14.25" customHeight="1" x14ac:dyDescent="0.25">
      <c r="C875" s="23"/>
      <c r="D875" s="10"/>
      <c r="H875" s="24"/>
      <c r="I875" s="24"/>
      <c r="J875" s="13"/>
    </row>
    <row r="876" spans="3:10" ht="14.25" customHeight="1" x14ac:dyDescent="0.25">
      <c r="C876" s="23"/>
      <c r="D876" s="10"/>
      <c r="H876" s="24"/>
      <c r="I876" s="24"/>
      <c r="J876" s="13"/>
    </row>
    <row r="877" spans="3:10" ht="14.25" customHeight="1" x14ac:dyDescent="0.25">
      <c r="C877" s="23"/>
      <c r="D877" s="10"/>
      <c r="H877" s="24"/>
      <c r="I877" s="24"/>
      <c r="J877" s="13"/>
    </row>
    <row r="878" spans="3:10" ht="14.25" customHeight="1" x14ac:dyDescent="0.25">
      <c r="C878" s="23"/>
      <c r="D878" s="10"/>
      <c r="H878" s="24"/>
      <c r="I878" s="24"/>
      <c r="J878" s="13"/>
    </row>
    <row r="879" spans="3:10" ht="14.25" customHeight="1" x14ac:dyDescent="0.25">
      <c r="C879" s="23"/>
      <c r="D879" s="10"/>
      <c r="H879" s="24"/>
      <c r="I879" s="24"/>
      <c r="J879" s="13"/>
    </row>
    <row r="880" spans="3:10" ht="14.25" customHeight="1" x14ac:dyDescent="0.25">
      <c r="C880" s="23"/>
      <c r="D880" s="10"/>
      <c r="H880" s="24"/>
      <c r="I880" s="24"/>
      <c r="J880" s="13"/>
    </row>
    <row r="881" spans="3:10" ht="14.25" customHeight="1" x14ac:dyDescent="0.25">
      <c r="C881" s="23"/>
      <c r="D881" s="10"/>
      <c r="H881" s="24"/>
      <c r="I881" s="24"/>
      <c r="J881" s="13"/>
    </row>
    <row r="882" spans="3:10" ht="14.25" customHeight="1" x14ac:dyDescent="0.25">
      <c r="C882" s="23"/>
      <c r="D882" s="10"/>
      <c r="H882" s="24"/>
      <c r="I882" s="24"/>
      <c r="J882" s="13"/>
    </row>
    <row r="883" spans="3:10" ht="14.25" customHeight="1" x14ac:dyDescent="0.25">
      <c r="C883" s="23"/>
      <c r="D883" s="10"/>
      <c r="H883" s="24"/>
      <c r="I883" s="24"/>
      <c r="J883" s="13"/>
    </row>
    <row r="884" spans="3:10" ht="14.25" customHeight="1" x14ac:dyDescent="0.25">
      <c r="C884" s="23"/>
      <c r="D884" s="10"/>
      <c r="H884" s="24"/>
      <c r="I884" s="24"/>
      <c r="J884" s="13"/>
    </row>
    <row r="885" spans="3:10" ht="14.25" customHeight="1" x14ac:dyDescent="0.25">
      <c r="C885" s="23"/>
      <c r="D885" s="10"/>
      <c r="H885" s="24"/>
      <c r="I885" s="24"/>
      <c r="J885" s="13"/>
    </row>
    <row r="886" spans="3:10" ht="14.25" customHeight="1" x14ac:dyDescent="0.25">
      <c r="C886" s="23"/>
      <c r="D886" s="10"/>
      <c r="H886" s="24"/>
      <c r="I886" s="24"/>
      <c r="J886" s="13"/>
    </row>
    <row r="887" spans="3:10" ht="14.25" customHeight="1" x14ac:dyDescent="0.25">
      <c r="C887" s="23"/>
      <c r="D887" s="10"/>
      <c r="H887" s="24"/>
      <c r="I887" s="24"/>
      <c r="J887" s="13"/>
    </row>
    <row r="888" spans="3:10" ht="14.25" customHeight="1" x14ac:dyDescent="0.25">
      <c r="C888" s="23"/>
      <c r="D888" s="10"/>
      <c r="H888" s="24"/>
      <c r="I888" s="24"/>
      <c r="J888" s="13"/>
    </row>
    <row r="889" spans="3:10" ht="14.25" customHeight="1" x14ac:dyDescent="0.25">
      <c r="C889" s="23"/>
      <c r="D889" s="10"/>
      <c r="H889" s="24"/>
      <c r="I889" s="24"/>
      <c r="J889" s="13"/>
    </row>
    <row r="890" spans="3:10" ht="14.25" customHeight="1" x14ac:dyDescent="0.25">
      <c r="C890" s="23"/>
      <c r="D890" s="10"/>
      <c r="H890" s="24"/>
      <c r="I890" s="24"/>
      <c r="J890" s="13"/>
    </row>
    <row r="891" spans="3:10" ht="14.25" customHeight="1" x14ac:dyDescent="0.25">
      <c r="C891" s="23"/>
      <c r="D891" s="10"/>
      <c r="H891" s="24"/>
      <c r="I891" s="24"/>
      <c r="J891" s="13"/>
    </row>
    <row r="892" spans="3:10" ht="14.25" customHeight="1" x14ac:dyDescent="0.25">
      <c r="C892" s="23"/>
      <c r="D892" s="10"/>
      <c r="H892" s="24"/>
      <c r="I892" s="24"/>
      <c r="J892" s="13"/>
    </row>
    <row r="893" spans="3:10" ht="14.25" customHeight="1" x14ac:dyDescent="0.25">
      <c r="C893" s="23"/>
      <c r="D893" s="10"/>
      <c r="H893" s="24"/>
      <c r="I893" s="24"/>
      <c r="J893" s="13"/>
    </row>
    <row r="894" spans="3:10" ht="14.25" customHeight="1" x14ac:dyDescent="0.25">
      <c r="C894" s="23"/>
      <c r="D894" s="10"/>
      <c r="H894" s="24"/>
      <c r="I894" s="24"/>
      <c r="J894" s="13"/>
    </row>
    <row r="895" spans="3:10" ht="14.25" customHeight="1" x14ac:dyDescent="0.25">
      <c r="C895" s="23"/>
      <c r="D895" s="10"/>
      <c r="H895" s="24"/>
      <c r="I895" s="24"/>
      <c r="J895" s="13"/>
    </row>
    <row r="896" spans="3:10" ht="14.25" customHeight="1" x14ac:dyDescent="0.25">
      <c r="C896" s="23"/>
      <c r="D896" s="10"/>
      <c r="H896" s="24"/>
      <c r="I896" s="24"/>
      <c r="J896" s="13"/>
    </row>
    <row r="897" spans="3:10" ht="14.25" customHeight="1" x14ac:dyDescent="0.25">
      <c r="C897" s="23"/>
      <c r="D897" s="10"/>
      <c r="H897" s="24"/>
      <c r="I897" s="24"/>
      <c r="J897" s="13"/>
    </row>
    <row r="898" spans="3:10" ht="14.25" customHeight="1" x14ac:dyDescent="0.25">
      <c r="C898" s="23"/>
      <c r="D898" s="10"/>
      <c r="H898" s="24"/>
      <c r="I898" s="24"/>
      <c r="J898" s="13"/>
    </row>
    <row r="899" spans="3:10" ht="14.25" customHeight="1" x14ac:dyDescent="0.25">
      <c r="C899" s="23"/>
      <c r="D899" s="10"/>
      <c r="H899" s="24"/>
      <c r="I899" s="24"/>
      <c r="J899" s="13"/>
    </row>
    <row r="900" spans="3:10" ht="14.25" customHeight="1" x14ac:dyDescent="0.25">
      <c r="C900" s="23"/>
      <c r="D900" s="10"/>
      <c r="H900" s="24"/>
      <c r="I900" s="24"/>
      <c r="J900" s="13"/>
    </row>
    <row r="901" spans="3:10" ht="14.25" customHeight="1" x14ac:dyDescent="0.25">
      <c r="C901" s="23"/>
      <c r="D901" s="10"/>
      <c r="H901" s="24"/>
      <c r="I901" s="24"/>
      <c r="J901" s="13"/>
    </row>
    <row r="902" spans="3:10" ht="14.25" customHeight="1" x14ac:dyDescent="0.25">
      <c r="C902" s="23"/>
      <c r="D902" s="10"/>
      <c r="H902" s="24"/>
      <c r="I902" s="24"/>
      <c r="J902" s="13"/>
    </row>
    <row r="903" spans="3:10" ht="14.25" customHeight="1" x14ac:dyDescent="0.25">
      <c r="C903" s="23"/>
      <c r="D903" s="10"/>
      <c r="H903" s="24"/>
      <c r="I903" s="24"/>
      <c r="J903" s="13"/>
    </row>
    <row r="904" spans="3:10" ht="14.25" customHeight="1" x14ac:dyDescent="0.25">
      <c r="C904" s="23"/>
      <c r="D904" s="10"/>
      <c r="H904" s="24"/>
      <c r="I904" s="24"/>
      <c r="J904" s="13"/>
    </row>
    <row r="905" spans="3:10" ht="14.25" customHeight="1" x14ac:dyDescent="0.25">
      <c r="C905" s="23"/>
      <c r="D905" s="10"/>
      <c r="H905" s="24"/>
      <c r="I905" s="24"/>
      <c r="J905" s="13"/>
    </row>
    <row r="906" spans="3:10" ht="14.25" customHeight="1" x14ac:dyDescent="0.25">
      <c r="C906" s="23"/>
      <c r="D906" s="10"/>
      <c r="H906" s="24"/>
      <c r="I906" s="24"/>
      <c r="J906" s="13"/>
    </row>
    <row r="907" spans="3:10" ht="14.25" customHeight="1" x14ac:dyDescent="0.25">
      <c r="C907" s="23"/>
      <c r="D907" s="10"/>
      <c r="H907" s="24"/>
      <c r="I907" s="24"/>
      <c r="J907" s="13"/>
    </row>
    <row r="908" spans="3:10" ht="14.25" customHeight="1" x14ac:dyDescent="0.25">
      <c r="C908" s="23"/>
      <c r="D908" s="10"/>
      <c r="H908" s="24"/>
      <c r="I908" s="24"/>
      <c r="J908" s="13"/>
    </row>
    <row r="909" spans="3:10" ht="14.25" customHeight="1" x14ac:dyDescent="0.25">
      <c r="C909" s="23"/>
      <c r="D909" s="10"/>
      <c r="H909" s="24"/>
      <c r="I909" s="24"/>
      <c r="J909" s="13"/>
    </row>
    <row r="910" spans="3:10" ht="14.25" customHeight="1" x14ac:dyDescent="0.25">
      <c r="C910" s="23"/>
      <c r="D910" s="10"/>
      <c r="H910" s="24"/>
      <c r="I910" s="24"/>
      <c r="J910" s="13"/>
    </row>
    <row r="911" spans="3:10" ht="14.25" customHeight="1" x14ac:dyDescent="0.25">
      <c r="C911" s="23"/>
      <c r="D911" s="10"/>
      <c r="H911" s="24"/>
      <c r="I911" s="24"/>
      <c r="J911" s="13"/>
    </row>
    <row r="912" spans="3:10" ht="14.25" customHeight="1" x14ac:dyDescent="0.25">
      <c r="C912" s="23"/>
      <c r="D912" s="10"/>
      <c r="H912" s="24"/>
      <c r="I912" s="24"/>
      <c r="J912" s="13"/>
    </row>
    <row r="913" spans="3:10" ht="14.25" customHeight="1" x14ac:dyDescent="0.25">
      <c r="C913" s="23"/>
      <c r="D913" s="10"/>
      <c r="H913" s="24"/>
      <c r="I913" s="24"/>
      <c r="J913" s="13"/>
    </row>
    <row r="914" spans="3:10" ht="14.25" customHeight="1" x14ac:dyDescent="0.25">
      <c r="C914" s="23"/>
      <c r="D914" s="10"/>
      <c r="H914" s="24"/>
      <c r="I914" s="24"/>
      <c r="J914" s="13"/>
    </row>
    <row r="915" spans="3:10" ht="14.25" customHeight="1" x14ac:dyDescent="0.25">
      <c r="C915" s="23"/>
      <c r="D915" s="10"/>
      <c r="H915" s="24"/>
      <c r="I915" s="24"/>
      <c r="J915" s="13"/>
    </row>
    <row r="916" spans="3:10" ht="14.25" customHeight="1" x14ac:dyDescent="0.25">
      <c r="C916" s="23"/>
      <c r="D916" s="10"/>
      <c r="H916" s="24"/>
      <c r="I916" s="24"/>
      <c r="J916" s="13"/>
    </row>
    <row r="917" spans="3:10" ht="14.25" customHeight="1" x14ac:dyDescent="0.25">
      <c r="C917" s="23"/>
      <c r="D917" s="10"/>
      <c r="H917" s="24"/>
      <c r="I917" s="24"/>
      <c r="J917" s="13"/>
    </row>
    <row r="918" spans="3:10" ht="14.25" customHeight="1" x14ac:dyDescent="0.25">
      <c r="C918" s="23"/>
      <c r="D918" s="10"/>
      <c r="H918" s="24"/>
      <c r="I918" s="24"/>
      <c r="J918" s="13"/>
    </row>
    <row r="919" spans="3:10" ht="14.25" customHeight="1" x14ac:dyDescent="0.25">
      <c r="C919" s="23"/>
      <c r="D919" s="10"/>
      <c r="H919" s="24"/>
      <c r="I919" s="24"/>
      <c r="J919" s="13"/>
    </row>
    <row r="920" spans="3:10" ht="14.25" customHeight="1" x14ac:dyDescent="0.25">
      <c r="C920" s="23"/>
      <c r="D920" s="10"/>
      <c r="H920" s="24"/>
      <c r="I920" s="24"/>
      <c r="J920" s="13"/>
    </row>
    <row r="921" spans="3:10" ht="14.25" customHeight="1" x14ac:dyDescent="0.25">
      <c r="C921" s="23"/>
      <c r="D921" s="10"/>
      <c r="H921" s="24"/>
      <c r="I921" s="24"/>
      <c r="J921" s="13"/>
    </row>
    <row r="922" spans="3:10" ht="14.25" customHeight="1" x14ac:dyDescent="0.25">
      <c r="C922" s="23"/>
      <c r="D922" s="10"/>
      <c r="H922" s="24"/>
      <c r="I922" s="24"/>
      <c r="J922" s="13"/>
    </row>
    <row r="923" spans="3:10" ht="14.25" customHeight="1" x14ac:dyDescent="0.25">
      <c r="C923" s="23"/>
      <c r="D923" s="10"/>
      <c r="H923" s="24"/>
      <c r="I923" s="24"/>
      <c r="J923" s="13"/>
    </row>
    <row r="924" spans="3:10" ht="14.25" customHeight="1" x14ac:dyDescent="0.25">
      <c r="C924" s="23"/>
      <c r="D924" s="10"/>
      <c r="H924" s="24"/>
      <c r="I924" s="24"/>
      <c r="J924" s="13"/>
    </row>
    <row r="925" spans="3:10" ht="14.25" customHeight="1" x14ac:dyDescent="0.25">
      <c r="C925" s="23"/>
      <c r="D925" s="10"/>
      <c r="H925" s="24"/>
      <c r="I925" s="24"/>
      <c r="J925" s="13"/>
    </row>
    <row r="926" spans="3:10" ht="14.25" customHeight="1" x14ac:dyDescent="0.25">
      <c r="C926" s="23"/>
      <c r="D926" s="10"/>
      <c r="H926" s="24"/>
      <c r="I926" s="24"/>
      <c r="J926" s="13"/>
    </row>
    <row r="927" spans="3:10" ht="14.25" customHeight="1" x14ac:dyDescent="0.25">
      <c r="C927" s="23"/>
      <c r="D927" s="10"/>
      <c r="H927" s="24"/>
      <c r="I927" s="24"/>
      <c r="J927" s="13"/>
    </row>
    <row r="928" spans="3:10" ht="14.25" customHeight="1" x14ac:dyDescent="0.25">
      <c r="C928" s="23"/>
      <c r="D928" s="10"/>
      <c r="H928" s="24"/>
      <c r="I928" s="24"/>
      <c r="J928" s="13"/>
    </row>
    <row r="929" spans="3:10" ht="14.25" customHeight="1" x14ac:dyDescent="0.25">
      <c r="C929" s="23"/>
      <c r="D929" s="10"/>
      <c r="H929" s="24"/>
      <c r="I929" s="24"/>
      <c r="J929" s="13"/>
    </row>
    <row r="930" spans="3:10" ht="14.25" customHeight="1" x14ac:dyDescent="0.25">
      <c r="C930" s="23"/>
      <c r="D930" s="10"/>
      <c r="H930" s="24"/>
      <c r="I930" s="24"/>
      <c r="J930" s="13"/>
    </row>
    <row r="931" spans="3:10" ht="14.25" customHeight="1" x14ac:dyDescent="0.25">
      <c r="C931" s="23"/>
      <c r="D931" s="10"/>
      <c r="H931" s="24"/>
      <c r="I931" s="24"/>
      <c r="J931" s="13"/>
    </row>
    <row r="932" spans="3:10" ht="14.25" customHeight="1" x14ac:dyDescent="0.25">
      <c r="C932" s="23"/>
      <c r="D932" s="10"/>
      <c r="H932" s="24"/>
      <c r="I932" s="24"/>
      <c r="J932" s="13"/>
    </row>
    <row r="933" spans="3:10" ht="14.25" customHeight="1" x14ac:dyDescent="0.25">
      <c r="C933" s="23"/>
      <c r="D933" s="10"/>
      <c r="H933" s="24"/>
      <c r="I933" s="24"/>
      <c r="J933" s="13"/>
    </row>
    <row r="934" spans="3:10" ht="14.25" customHeight="1" x14ac:dyDescent="0.25">
      <c r="C934" s="23"/>
      <c r="D934" s="10"/>
      <c r="H934" s="24"/>
      <c r="I934" s="24"/>
      <c r="J934" s="13"/>
    </row>
    <row r="935" spans="3:10" ht="14.25" customHeight="1" x14ac:dyDescent="0.25">
      <c r="C935" s="23"/>
      <c r="D935" s="10"/>
      <c r="H935" s="24"/>
      <c r="I935" s="24"/>
      <c r="J935" s="13"/>
    </row>
    <row r="936" spans="3:10" ht="14.25" customHeight="1" x14ac:dyDescent="0.25">
      <c r="C936" s="23"/>
      <c r="D936" s="10"/>
      <c r="H936" s="24"/>
      <c r="I936" s="24"/>
      <c r="J936" s="13"/>
    </row>
    <row r="937" spans="3:10" ht="14.25" customHeight="1" x14ac:dyDescent="0.25">
      <c r="C937" s="23"/>
      <c r="D937" s="10"/>
      <c r="H937" s="24"/>
      <c r="I937" s="24"/>
      <c r="J937" s="13"/>
    </row>
    <row r="938" spans="3:10" ht="14.25" customHeight="1" x14ac:dyDescent="0.25">
      <c r="C938" s="23"/>
      <c r="D938" s="10"/>
      <c r="H938" s="24"/>
      <c r="I938" s="24"/>
      <c r="J938" s="13"/>
    </row>
    <row r="939" spans="3:10" ht="14.25" customHeight="1" x14ac:dyDescent="0.25">
      <c r="C939" s="23"/>
      <c r="D939" s="10"/>
      <c r="H939" s="24"/>
      <c r="I939" s="24"/>
      <c r="J939" s="13"/>
    </row>
    <row r="940" spans="3:10" ht="14.25" customHeight="1" x14ac:dyDescent="0.25">
      <c r="C940" s="23"/>
      <c r="D940" s="10"/>
      <c r="H940" s="24"/>
      <c r="I940" s="24"/>
      <c r="J940" s="13"/>
    </row>
    <row r="941" spans="3:10" ht="14.25" customHeight="1" x14ac:dyDescent="0.25">
      <c r="C941" s="23"/>
      <c r="D941" s="10"/>
      <c r="H941" s="24"/>
      <c r="I941" s="24"/>
      <c r="J941" s="13"/>
    </row>
    <row r="942" spans="3:10" ht="14.25" customHeight="1" x14ac:dyDescent="0.25">
      <c r="C942" s="23"/>
      <c r="D942" s="10"/>
      <c r="H942" s="24"/>
      <c r="I942" s="24"/>
      <c r="J942" s="13"/>
    </row>
    <row r="943" spans="3:10" ht="14.25" customHeight="1" x14ac:dyDescent="0.25">
      <c r="C943" s="23"/>
      <c r="D943" s="10"/>
      <c r="H943" s="24"/>
      <c r="I943" s="24"/>
      <c r="J943" s="13"/>
    </row>
    <row r="944" spans="3:10" ht="14.25" customHeight="1" x14ac:dyDescent="0.25">
      <c r="C944" s="23"/>
      <c r="D944" s="10"/>
      <c r="H944" s="24"/>
      <c r="I944" s="24"/>
      <c r="J944" s="13"/>
    </row>
    <row r="945" spans="3:10" ht="14.25" customHeight="1" x14ac:dyDescent="0.25">
      <c r="C945" s="23"/>
      <c r="D945" s="10"/>
      <c r="H945" s="24"/>
      <c r="I945" s="24"/>
      <c r="J945" s="13"/>
    </row>
    <row r="946" spans="3:10" ht="14.25" customHeight="1" x14ac:dyDescent="0.25">
      <c r="C946" s="23"/>
      <c r="D946" s="10"/>
      <c r="H946" s="24"/>
      <c r="I946" s="24"/>
      <c r="J946" s="13"/>
    </row>
    <row r="947" spans="3:10" ht="14.25" customHeight="1" x14ac:dyDescent="0.25">
      <c r="C947" s="23"/>
      <c r="D947" s="10"/>
      <c r="H947" s="24"/>
      <c r="I947" s="24"/>
      <c r="J947" s="13"/>
    </row>
    <row r="948" spans="3:10" ht="14.25" customHeight="1" x14ac:dyDescent="0.25">
      <c r="C948" s="23"/>
      <c r="D948" s="10"/>
      <c r="H948" s="24"/>
      <c r="I948" s="24"/>
      <c r="J948" s="13"/>
    </row>
    <row r="949" spans="3:10" ht="14.25" customHeight="1" x14ac:dyDescent="0.25">
      <c r="C949" s="23"/>
      <c r="D949" s="10"/>
      <c r="H949" s="24"/>
      <c r="I949" s="24"/>
      <c r="J949" s="13"/>
    </row>
    <row r="950" spans="3:10" ht="14.25" customHeight="1" x14ac:dyDescent="0.25">
      <c r="C950" s="23"/>
      <c r="D950" s="10"/>
      <c r="H950" s="24"/>
      <c r="I950" s="24"/>
      <c r="J950" s="13"/>
    </row>
    <row r="951" spans="3:10" ht="14.25" customHeight="1" x14ac:dyDescent="0.25">
      <c r="C951" s="23"/>
      <c r="D951" s="10"/>
      <c r="H951" s="24"/>
      <c r="I951" s="24"/>
      <c r="J951" s="13"/>
    </row>
    <row r="952" spans="3:10" ht="14.25" customHeight="1" x14ac:dyDescent="0.25">
      <c r="C952" s="23"/>
      <c r="D952" s="10"/>
      <c r="H952" s="24"/>
      <c r="I952" s="24"/>
      <c r="J952" s="13"/>
    </row>
    <row r="953" spans="3:10" ht="14.25" customHeight="1" x14ac:dyDescent="0.25">
      <c r="C953" s="23"/>
      <c r="D953" s="10"/>
      <c r="H953" s="24"/>
      <c r="I953" s="24"/>
      <c r="J953" s="13"/>
    </row>
    <row r="954" spans="3:10" ht="14.25" customHeight="1" x14ac:dyDescent="0.25">
      <c r="C954" s="23"/>
      <c r="D954" s="10"/>
      <c r="H954" s="24"/>
      <c r="I954" s="24"/>
      <c r="J954" s="13"/>
    </row>
    <row r="955" spans="3:10" ht="14.25" customHeight="1" x14ac:dyDescent="0.25">
      <c r="C955" s="23"/>
      <c r="D955" s="10"/>
      <c r="H955" s="24"/>
      <c r="I955" s="24"/>
      <c r="J955" s="13"/>
    </row>
    <row r="956" spans="3:10" ht="14.25" customHeight="1" x14ac:dyDescent="0.25">
      <c r="C956" s="23"/>
      <c r="D956" s="10"/>
      <c r="H956" s="24"/>
      <c r="I956" s="24"/>
      <c r="J956" s="13"/>
    </row>
    <row r="957" spans="3:10" ht="14.25" customHeight="1" x14ac:dyDescent="0.25">
      <c r="C957" s="23"/>
      <c r="D957" s="10"/>
      <c r="H957" s="24"/>
      <c r="I957" s="24"/>
      <c r="J957" s="13"/>
    </row>
    <row r="958" spans="3:10" ht="14.25" customHeight="1" x14ac:dyDescent="0.25">
      <c r="C958" s="23"/>
      <c r="D958" s="10"/>
      <c r="H958" s="24"/>
      <c r="I958" s="24"/>
      <c r="J958" s="13"/>
    </row>
    <row r="959" spans="3:10" ht="14.25" customHeight="1" x14ac:dyDescent="0.25">
      <c r="C959" s="23"/>
      <c r="D959" s="10"/>
      <c r="H959" s="24"/>
      <c r="I959" s="24"/>
      <c r="J959" s="13"/>
    </row>
    <row r="960" spans="3:10" ht="14.25" customHeight="1" x14ac:dyDescent="0.25">
      <c r="C960" s="23"/>
      <c r="D960" s="10"/>
      <c r="H960" s="24"/>
      <c r="I960" s="24"/>
      <c r="J960" s="13"/>
    </row>
    <row r="961" spans="3:10" ht="14.25" customHeight="1" x14ac:dyDescent="0.25">
      <c r="C961" s="23"/>
      <c r="D961" s="10"/>
      <c r="H961" s="24"/>
      <c r="I961" s="24"/>
      <c r="J961" s="13"/>
    </row>
    <row r="962" spans="3:10" ht="14.25" customHeight="1" x14ac:dyDescent="0.25">
      <c r="C962" s="23"/>
      <c r="D962" s="10"/>
      <c r="H962" s="24"/>
      <c r="I962" s="24"/>
      <c r="J962" s="13"/>
    </row>
    <row r="963" spans="3:10" ht="14.25" customHeight="1" x14ac:dyDescent="0.25">
      <c r="C963" s="23"/>
      <c r="D963" s="10"/>
      <c r="H963" s="24"/>
      <c r="I963" s="24"/>
      <c r="J963" s="13"/>
    </row>
    <row r="964" spans="3:10" ht="14.25" customHeight="1" x14ac:dyDescent="0.25">
      <c r="C964" s="23"/>
      <c r="D964" s="10"/>
      <c r="H964" s="24"/>
      <c r="I964" s="24"/>
      <c r="J964" s="13"/>
    </row>
    <row r="965" spans="3:10" ht="14.25" customHeight="1" x14ac:dyDescent="0.25">
      <c r="C965" s="23"/>
      <c r="D965" s="10"/>
      <c r="H965" s="24"/>
      <c r="I965" s="24"/>
      <c r="J965" s="13"/>
    </row>
    <row r="966" spans="3:10" ht="14.25" customHeight="1" x14ac:dyDescent="0.25">
      <c r="C966" s="23"/>
      <c r="D966" s="10"/>
      <c r="H966" s="24"/>
      <c r="I966" s="24"/>
      <c r="J966" s="13"/>
    </row>
    <row r="967" spans="3:10" ht="14.25" customHeight="1" x14ac:dyDescent="0.25">
      <c r="C967" s="23"/>
      <c r="D967" s="10"/>
      <c r="H967" s="24"/>
      <c r="I967" s="24"/>
      <c r="J967" s="13"/>
    </row>
    <row r="968" spans="3:10" ht="14.25" customHeight="1" x14ac:dyDescent="0.25">
      <c r="C968" s="23"/>
      <c r="D968" s="10"/>
      <c r="H968" s="24"/>
      <c r="I968" s="24"/>
      <c r="J968" s="13"/>
    </row>
    <row r="969" spans="3:10" ht="14.25" customHeight="1" x14ac:dyDescent="0.25">
      <c r="C969" s="23"/>
      <c r="D969" s="10"/>
      <c r="H969" s="24"/>
      <c r="I969" s="24"/>
      <c r="J969" s="13"/>
    </row>
    <row r="970" spans="3:10" ht="14.25" customHeight="1" x14ac:dyDescent="0.25">
      <c r="C970" s="23"/>
      <c r="D970" s="10"/>
      <c r="H970" s="24"/>
      <c r="I970" s="24"/>
      <c r="J970" s="13"/>
    </row>
    <row r="971" spans="3:10" ht="14.25" customHeight="1" x14ac:dyDescent="0.25">
      <c r="C971" s="23"/>
      <c r="D971" s="10"/>
      <c r="H971" s="24"/>
      <c r="I971" s="24"/>
      <c r="J971" s="13"/>
    </row>
    <row r="972" spans="3:10" ht="14.25" customHeight="1" x14ac:dyDescent="0.25">
      <c r="C972" s="23"/>
      <c r="D972" s="10"/>
      <c r="H972" s="24"/>
      <c r="I972" s="24"/>
      <c r="J972" s="13"/>
    </row>
    <row r="973" spans="3:10" ht="14.25" customHeight="1" x14ac:dyDescent="0.25">
      <c r="C973" s="23"/>
      <c r="D973" s="10"/>
      <c r="H973" s="24"/>
      <c r="I973" s="24"/>
      <c r="J973" s="13"/>
    </row>
    <row r="974" spans="3:10" ht="14.25" customHeight="1" x14ac:dyDescent="0.25">
      <c r="C974" s="23"/>
      <c r="D974" s="10"/>
      <c r="H974" s="24"/>
      <c r="I974" s="24"/>
      <c r="J974" s="13"/>
    </row>
    <row r="975" spans="3:10" ht="14.25" customHeight="1" x14ac:dyDescent="0.25">
      <c r="C975" s="23"/>
      <c r="D975" s="10"/>
      <c r="H975" s="24"/>
      <c r="I975" s="24"/>
      <c r="J975" s="13"/>
    </row>
    <row r="976" spans="3:10" ht="14.25" customHeight="1" x14ac:dyDescent="0.25">
      <c r="C976" s="23"/>
      <c r="D976" s="10"/>
      <c r="H976" s="24"/>
      <c r="I976" s="24"/>
      <c r="J976" s="13"/>
    </row>
    <row r="977" spans="3:10" ht="14.25" customHeight="1" x14ac:dyDescent="0.25">
      <c r="C977" s="23"/>
      <c r="D977" s="10"/>
      <c r="H977" s="24"/>
      <c r="I977" s="24"/>
      <c r="J977" s="13"/>
    </row>
    <row r="978" spans="3:10" ht="14.25" customHeight="1" x14ac:dyDescent="0.25">
      <c r="C978" s="23"/>
      <c r="D978" s="10"/>
      <c r="H978" s="24"/>
      <c r="I978" s="24"/>
      <c r="J978" s="13"/>
    </row>
    <row r="979" spans="3:10" ht="14.25" customHeight="1" x14ac:dyDescent="0.25">
      <c r="C979" s="23"/>
      <c r="D979" s="10"/>
      <c r="H979" s="24"/>
      <c r="I979" s="24"/>
      <c r="J979" s="13"/>
    </row>
    <row r="980" spans="3:10" ht="14.25" customHeight="1" x14ac:dyDescent="0.25">
      <c r="C980" s="23"/>
      <c r="D980" s="10"/>
      <c r="H980" s="24"/>
      <c r="I980" s="24"/>
      <c r="J980" s="13"/>
    </row>
    <row r="981" spans="3:10" ht="14.25" customHeight="1" x14ac:dyDescent="0.25">
      <c r="C981" s="23"/>
      <c r="D981" s="10"/>
      <c r="H981" s="24"/>
      <c r="I981" s="24"/>
      <c r="J981" s="13"/>
    </row>
    <row r="982" spans="3:10" ht="14.25" customHeight="1" x14ac:dyDescent="0.25">
      <c r="C982" s="23"/>
      <c r="D982" s="10"/>
      <c r="H982" s="24"/>
      <c r="I982" s="24"/>
      <c r="J982" s="13"/>
    </row>
    <row r="983" spans="3:10" ht="14.25" customHeight="1" x14ac:dyDescent="0.25">
      <c r="C983" s="23"/>
      <c r="D983" s="10"/>
      <c r="H983" s="24"/>
      <c r="I983" s="24"/>
      <c r="J983" s="13"/>
    </row>
    <row r="984" spans="3:10" ht="14.25" customHeight="1" x14ac:dyDescent="0.25">
      <c r="C984" s="23"/>
      <c r="D984" s="10"/>
      <c r="H984" s="24"/>
      <c r="I984" s="24"/>
      <c r="J984" s="13"/>
    </row>
    <row r="985" spans="3:10" ht="14.25" customHeight="1" x14ac:dyDescent="0.25">
      <c r="C985" s="23"/>
      <c r="D985" s="10"/>
      <c r="H985" s="24"/>
      <c r="I985" s="24"/>
      <c r="J985" s="13"/>
    </row>
    <row r="986" spans="3:10" ht="14.25" customHeight="1" x14ac:dyDescent="0.25">
      <c r="C986" s="23"/>
      <c r="D986" s="10"/>
      <c r="H986" s="24"/>
      <c r="I986" s="24"/>
      <c r="J986" s="13"/>
    </row>
    <row r="987" spans="3:10" ht="14.25" customHeight="1" x14ac:dyDescent="0.25">
      <c r="C987" s="23"/>
      <c r="D987" s="10"/>
      <c r="H987" s="24"/>
      <c r="I987" s="24"/>
      <c r="J987" s="13"/>
    </row>
    <row r="988" spans="3:10" ht="14.25" customHeight="1" x14ac:dyDescent="0.25">
      <c r="C988" s="23"/>
      <c r="D988" s="10"/>
      <c r="H988" s="24"/>
      <c r="I988" s="24"/>
      <c r="J988" s="13"/>
    </row>
    <row r="989" spans="3:10" ht="14.25" customHeight="1" x14ac:dyDescent="0.25">
      <c r="C989" s="23"/>
      <c r="D989" s="10"/>
      <c r="H989" s="24"/>
      <c r="I989" s="24"/>
      <c r="J989" s="13"/>
    </row>
    <row r="990" spans="3:10" ht="14.25" customHeight="1" x14ac:dyDescent="0.25">
      <c r="C990" s="23"/>
      <c r="D990" s="10"/>
      <c r="H990" s="24"/>
      <c r="I990" s="24"/>
      <c r="J990" s="13"/>
    </row>
    <row r="991" spans="3:10" ht="14.25" customHeight="1" x14ac:dyDescent="0.25">
      <c r="C991" s="23"/>
      <c r="D991" s="10"/>
      <c r="H991" s="24"/>
      <c r="I991" s="24"/>
      <c r="J991" s="13"/>
    </row>
    <row r="992" spans="3:10" ht="14.25" customHeight="1" x14ac:dyDescent="0.25">
      <c r="C992" s="23"/>
      <c r="D992" s="10"/>
      <c r="H992" s="24"/>
      <c r="I992" s="24"/>
      <c r="J992" s="13"/>
    </row>
    <row r="993" spans="3:10" ht="14.25" customHeight="1" x14ac:dyDescent="0.25">
      <c r="C993" s="23"/>
      <c r="D993" s="10"/>
      <c r="H993" s="24"/>
      <c r="I993" s="24"/>
      <c r="J993" s="13"/>
    </row>
    <row r="994" spans="3:10" ht="14.25" customHeight="1" x14ac:dyDescent="0.25">
      <c r="C994" s="23"/>
      <c r="D994" s="10"/>
      <c r="H994" s="24"/>
      <c r="I994" s="24"/>
      <c r="J994" s="13"/>
    </row>
    <row r="995" spans="3:10" ht="14.25" customHeight="1" x14ac:dyDescent="0.25">
      <c r="C995" s="23"/>
      <c r="D995" s="10"/>
      <c r="H995" s="24"/>
      <c r="I995" s="24"/>
      <c r="J995" s="13"/>
    </row>
    <row r="996" spans="3:10" ht="14.25" customHeight="1" x14ac:dyDescent="0.25">
      <c r="C996" s="23"/>
      <c r="D996" s="10"/>
      <c r="H996" s="24"/>
      <c r="I996" s="24"/>
      <c r="J996" s="13"/>
    </row>
    <row r="997" spans="3:10" ht="14.25" customHeight="1" x14ac:dyDescent="0.25">
      <c r="C997" s="23"/>
      <c r="D997" s="10"/>
      <c r="H997" s="24"/>
      <c r="I997" s="24"/>
      <c r="J997" s="13"/>
    </row>
    <row r="998" spans="3:10" ht="14.25" customHeight="1" x14ac:dyDescent="0.25">
      <c r="C998" s="23"/>
      <c r="D998" s="10"/>
      <c r="H998" s="24"/>
      <c r="I998" s="24"/>
      <c r="J998" s="13"/>
    </row>
    <row r="999" spans="3:10" ht="14.25" customHeight="1" x14ac:dyDescent="0.25">
      <c r="C999" s="23"/>
      <c r="D999" s="10"/>
      <c r="H999" s="24"/>
      <c r="I999" s="24"/>
      <c r="J999" s="13"/>
    </row>
    <row r="1000" spans="3:10" ht="14.25" customHeight="1" x14ac:dyDescent="0.25">
      <c r="C1000" s="23"/>
      <c r="D1000" s="10"/>
      <c r="H1000" s="24"/>
      <c r="I1000" s="24"/>
      <c r="J1000" s="13"/>
    </row>
    <row r="1001" spans="3:10" ht="14.25" customHeight="1" x14ac:dyDescent="0.25">
      <c r="C1001" s="23"/>
      <c r="D1001" s="10"/>
      <c r="H1001" s="24"/>
      <c r="I1001" s="24"/>
      <c r="J1001" s="13"/>
    </row>
  </sheetData>
  <mergeCells count="1">
    <mergeCell ref="A1:Y1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Fervicom Iluminación</cp:lastModifiedBy>
  <dcterms:created xsi:type="dcterms:W3CDTF">2026-09-19T02:47:27Z</dcterms:created>
  <dcterms:modified xsi:type="dcterms:W3CDTF">2026-09-23T21:23:32Z</dcterms:modified>
</cp:coreProperties>
</file>